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 Internship\PROJECTS\Bachelors intership project soybean oil\"/>
    </mc:Choice>
  </mc:AlternateContent>
  <xr:revisionPtr revIDLastSave="0" documentId="13_ncr:1_{589FA673-F23F-4564-A96E-99564DCBAA1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7" i="3" l="1"/>
  <c r="L47" i="3"/>
  <c r="I47" i="3"/>
  <c r="F47" i="3"/>
  <c r="C47" i="3"/>
  <c r="N13" i="2" l="1"/>
  <c r="K13" i="2"/>
  <c r="H13" i="2"/>
  <c r="E13" i="2"/>
  <c r="B13" i="2"/>
  <c r="N28" i="1" l="1"/>
  <c r="K28" i="1"/>
  <c r="H28" i="1"/>
  <c r="E28" i="1"/>
  <c r="B28" i="1"/>
</calcChain>
</file>

<file path=xl/sharedStrings.xml><?xml version="1.0" encoding="utf-8"?>
<sst xmlns="http://schemas.openxmlformats.org/spreadsheetml/2006/main" count="679" uniqueCount="42">
  <si>
    <t>CHINA</t>
  </si>
  <si>
    <t>(1000 MT)</t>
  </si>
  <si>
    <t>Year</t>
  </si>
  <si>
    <t>INDIA</t>
  </si>
  <si>
    <t>Production</t>
  </si>
  <si>
    <t>Unit</t>
  </si>
  <si>
    <t>Growth rate</t>
  </si>
  <si>
    <t>JAPAN</t>
  </si>
  <si>
    <t>SOUTH KOREA</t>
  </si>
  <si>
    <t>MALAYSIA</t>
  </si>
  <si>
    <t>TP</t>
  </si>
  <si>
    <t>Production2</t>
  </si>
  <si>
    <t>Unit3</t>
  </si>
  <si>
    <t>Growth rate4</t>
  </si>
  <si>
    <t>Production5</t>
  </si>
  <si>
    <t>Growth rate7</t>
  </si>
  <si>
    <t>Production8</t>
  </si>
  <si>
    <t>Growth rate10</t>
  </si>
  <si>
    <t>Production11</t>
  </si>
  <si>
    <t>Growth rate13</t>
  </si>
  <si>
    <t>Unit2</t>
  </si>
  <si>
    <t>Unit4</t>
  </si>
  <si>
    <t>Unit5</t>
  </si>
  <si>
    <t>Growth rate2</t>
  </si>
  <si>
    <t>Production 2</t>
  </si>
  <si>
    <t>Production 1</t>
  </si>
  <si>
    <t>Unit 3</t>
  </si>
  <si>
    <t>Unit 2</t>
  </si>
  <si>
    <t>Unit 1</t>
  </si>
  <si>
    <t>Production 3</t>
  </si>
  <si>
    <t>Growth rate 3</t>
  </si>
  <si>
    <t>Growth rate 1</t>
  </si>
  <si>
    <t>Production 4</t>
  </si>
  <si>
    <t>Unit 4</t>
  </si>
  <si>
    <t>Growth rate 4</t>
  </si>
  <si>
    <t>Production 5</t>
  </si>
  <si>
    <t>Unit 5</t>
  </si>
  <si>
    <t>Growth rate 5</t>
  </si>
  <si>
    <t>no.</t>
  </si>
  <si>
    <t>TOTAL</t>
  </si>
  <si>
    <t>Forecasted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</si>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</sst>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</cellStyleXfs>
  <cellXfs count="101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3" fillId="0" borderId="0" xfId="0" applyFont="1"/>
    <xf numFmtId="0" fontId="1" fillId="3" borderId="2" xfId="2" applyBorder="1" applyAlignment="1">
      <alignment vertical="center" wrapText="1"/>
    </xf>
    <xf numFmtId="0" fontId="1" fillId="3" borderId="2" xfId="2" applyBorder="1"/>
    <xf numFmtId="0" fontId="1" fillId="5" borderId="2" xfId="4" applyBorder="1"/>
    <xf numFmtId="49" fontId="1" fillId="7" borderId="2" xfId="6" applyNumberFormat="1" applyBorder="1" applyAlignment="1">
      <alignment vertical="center" wrapText="1"/>
    </xf>
    <xf numFmtId="0" fontId="1" fillId="7" borderId="2" xfId="6" applyBorder="1" applyAlignment="1">
      <alignment vertical="center" wrapText="1"/>
    </xf>
    <xf numFmtId="0" fontId="1" fillId="7" borderId="2" xfId="6" applyBorder="1"/>
    <xf numFmtId="0" fontId="1" fillId="7" borderId="2" xfId="6" applyBorder="1" applyAlignment="1"/>
    <xf numFmtId="10" fontId="1" fillId="3" borderId="2" xfId="2" applyNumberFormat="1" applyBorder="1" applyAlignment="1">
      <alignment vertical="center" wrapText="1"/>
    </xf>
    <xf numFmtId="10" fontId="1" fillId="5" borderId="2" xfId="4" applyNumberFormat="1" applyBorder="1"/>
    <xf numFmtId="0" fontId="1" fillId="9" borderId="1" xfId="8" applyBorder="1" applyAlignment="1">
      <alignment horizontal="right" vertical="center" wrapText="1"/>
    </xf>
    <xf numFmtId="10" fontId="1" fillId="9" borderId="1" xfId="8" applyNumberFormat="1" applyBorder="1" applyAlignment="1">
      <alignment horizontal="right" vertical="center" wrapText="1"/>
    </xf>
    <xf numFmtId="0" fontId="1" fillId="9" borderId="2" xfId="8" applyBorder="1"/>
    <xf numFmtId="0" fontId="1" fillId="11" borderId="2" xfId="10" applyBorder="1"/>
    <xf numFmtId="10" fontId="1" fillId="11" borderId="2" xfId="10" applyNumberFormat="1" applyBorder="1"/>
    <xf numFmtId="0" fontId="4" fillId="4" borderId="2" xfId="3" applyFont="1" applyBorder="1"/>
    <xf numFmtId="0" fontId="4" fillId="8" borderId="2" xfId="7" applyFont="1" applyBorder="1"/>
    <xf numFmtId="0" fontId="4" fillId="10" borderId="2" xfId="9" applyFont="1" applyBorder="1"/>
    <xf numFmtId="0" fontId="4" fillId="6" borderId="2" xfId="5" applyFont="1" applyBorder="1"/>
    <xf numFmtId="0" fontId="0" fillId="7" borderId="2" xfId="6" applyFont="1" applyBorder="1"/>
    <xf numFmtId="0" fontId="1" fillId="3" borderId="5" xfId="2" applyBorder="1" applyAlignment="1">
      <alignment vertical="center" wrapText="1"/>
    </xf>
    <xf numFmtId="0" fontId="4" fillId="2" borderId="5" xfId="1" applyFont="1" applyBorder="1"/>
    <xf numFmtId="10" fontId="1" fillId="7" borderId="3" xfId="6" applyNumberFormat="1" applyBorder="1"/>
    <xf numFmtId="0" fontId="1" fillId="7" borderId="3" xfId="6" applyBorder="1"/>
    <xf numFmtId="49" fontId="1" fillId="3" borderId="9" xfId="2" applyNumberFormat="1" applyBorder="1" applyAlignment="1">
      <alignment horizontal="center" vertical="center" wrapText="1"/>
    </xf>
    <xf numFmtId="49" fontId="1" fillId="3" borderId="10" xfId="2" applyNumberFormat="1" applyBorder="1" applyAlignment="1">
      <alignment horizontal="center" vertical="center" wrapText="1"/>
    </xf>
    <xf numFmtId="0" fontId="1" fillId="7" borderId="8" xfId="6" applyBorder="1" applyAlignment="1">
      <alignment horizontal="center"/>
    </xf>
    <xf numFmtId="0" fontId="0" fillId="3" borderId="2" xfId="2" applyFont="1" applyBorder="1" applyAlignment="1">
      <alignment vertical="center" wrapText="1"/>
    </xf>
    <xf numFmtId="0" fontId="0" fillId="5" borderId="2" xfId="4" applyFont="1" applyBorder="1"/>
    <xf numFmtId="0" fontId="0" fillId="9" borderId="1" xfId="8" applyFont="1" applyBorder="1" applyAlignment="1">
      <alignment horizontal="right" vertical="center" wrapText="1"/>
    </xf>
    <xf numFmtId="49" fontId="1" fillId="5" borderId="10" xfId="4" applyNumberFormat="1" applyBorder="1" applyAlignment="1">
      <alignment horizontal="center" vertical="center" wrapText="1"/>
    </xf>
    <xf numFmtId="49" fontId="1" fillId="9" borderId="10" xfId="8" applyNumberFormat="1" applyBorder="1" applyAlignment="1">
      <alignment horizontal="center" vertical="center" wrapText="1"/>
    </xf>
    <xf numFmtId="49" fontId="1" fillId="11" borderId="10" xfId="10" applyNumberFormat="1" applyBorder="1" applyAlignment="1">
      <alignment horizontal="center" vertical="center" wrapText="1"/>
    </xf>
    <xf numFmtId="49" fontId="1" fillId="7" borderId="10" xfId="6" applyNumberFormat="1" applyBorder="1" applyAlignment="1">
      <alignment horizontal="center" vertical="center" wrapText="1"/>
    </xf>
    <xf numFmtId="49" fontId="1" fillId="7" borderId="11" xfId="6" applyNumberFormat="1" applyBorder="1" applyAlignment="1">
      <alignment horizontal="center" vertical="center" wrapText="1"/>
    </xf>
    <xf numFmtId="0" fontId="1" fillId="5" borderId="8" xfId="4" applyBorder="1" applyAlignment="1">
      <alignment horizontal="center"/>
    </xf>
    <xf numFmtId="0" fontId="1" fillId="5" borderId="6" xfId="4" applyBorder="1" applyAlignment="1">
      <alignment horizontal="center"/>
    </xf>
    <xf numFmtId="0" fontId="1" fillId="5" borderId="7" xfId="4" applyBorder="1" applyAlignment="1">
      <alignment horizontal="center"/>
    </xf>
    <xf numFmtId="0" fontId="1" fillId="9" borderId="8" xfId="8" applyBorder="1" applyAlignment="1">
      <alignment horizontal="center"/>
    </xf>
    <xf numFmtId="0" fontId="1" fillId="9" borderId="6" xfId="8" applyBorder="1" applyAlignment="1">
      <alignment horizontal="center"/>
    </xf>
    <xf numFmtId="0" fontId="1" fillId="9" borderId="7" xfId="8" applyBorder="1" applyAlignment="1">
      <alignment horizontal="center"/>
    </xf>
    <xf numFmtId="0" fontId="1" fillId="11" borderId="8" xfId="10" applyBorder="1" applyAlignment="1">
      <alignment horizontal="center"/>
    </xf>
    <xf numFmtId="0" fontId="1" fillId="11" borderId="6" xfId="10" applyBorder="1" applyAlignment="1">
      <alignment horizontal="center"/>
    </xf>
    <xf numFmtId="0" fontId="1" fillId="11" borderId="7" xfId="10" applyBorder="1" applyAlignment="1">
      <alignment horizontal="center"/>
    </xf>
    <xf numFmtId="0" fontId="1" fillId="7" borderId="6" xfId="6" applyBorder="1" applyAlignment="1">
      <alignment horizontal="center"/>
    </xf>
    <xf numFmtId="49" fontId="0" fillId="9" borderId="10" xfId="8" applyNumberFormat="1" applyFont="1" applyBorder="1" applyAlignment="1">
      <alignment horizontal="center" vertical="center" wrapText="1"/>
    </xf>
    <xf numFmtId="49" fontId="0" fillId="11" borderId="10" xfId="10" applyNumberFormat="1" applyFont="1" applyBorder="1" applyAlignment="1">
      <alignment horizontal="center" vertical="center" wrapText="1"/>
    </xf>
    <xf numFmtId="49" fontId="0" fillId="7" borderId="10" xfId="6" applyNumberFormat="1" applyFont="1" applyBorder="1" applyAlignment="1">
      <alignment horizontal="center" vertical="center" wrapText="1"/>
    </xf>
    <xf numFmtId="0" fontId="1" fillId="3" borderId="6" xfId="2" applyBorder="1" applyAlignment="1"/>
    <xf numFmtId="0" fontId="1" fillId="3" borderId="7" xfId="2" applyBorder="1" applyAlignment="1"/>
    <xf numFmtId="0" fontId="0" fillId="11" borderId="2" xfId="10" applyFont="1" applyBorder="1"/>
    <xf numFmtId="0" fontId="0" fillId="0" borderId="0" xfId="0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vertical="center"/>
    </xf>
    <xf numFmtId="49" fontId="0" fillId="7" borderId="2" xfId="6" applyNumberFormat="1" applyFont="1" applyBorder="1" applyAlignment="1">
      <alignment horizontal="center" vertical="center" wrapText="1"/>
    </xf>
    <xf numFmtId="49" fontId="0" fillId="3" borderId="2" xfId="2" applyNumberFormat="1" applyFont="1" applyBorder="1" applyAlignment="1">
      <alignment horizontal="center" vertical="center" wrapText="1"/>
    </xf>
    <xf numFmtId="49" fontId="0" fillId="5" borderId="2" xfId="4" applyNumberFormat="1" applyFont="1" applyBorder="1" applyAlignment="1">
      <alignment horizontal="center" vertical="center" wrapText="1"/>
    </xf>
    <xf numFmtId="49" fontId="0" fillId="9" borderId="2" xfId="8" applyNumberFormat="1" applyFont="1" applyBorder="1" applyAlignment="1">
      <alignment horizontal="center" vertical="center" wrapText="1"/>
    </xf>
    <xf numFmtId="49" fontId="0" fillId="11" borderId="2" xfId="1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3" borderId="2" xfId="2" applyBorder="1" applyAlignment="1">
      <alignment vertical="center"/>
    </xf>
    <xf numFmtId="10" fontId="1" fillId="3" borderId="2" xfId="2" applyNumberFormat="1" applyBorder="1" applyAlignment="1">
      <alignment vertical="center"/>
    </xf>
    <xf numFmtId="0" fontId="2" fillId="12" borderId="2" xfId="11" applyBorder="1"/>
    <xf numFmtId="0" fontId="2" fillId="12" borderId="0" xfId="11"/>
    <xf numFmtId="0" fontId="2" fillId="13" borderId="0" xfId="11" applyFill="1"/>
    <xf numFmtId="49" fontId="1" fillId="7" borderId="3" xfId="6" applyNumberFormat="1" applyBorder="1" applyAlignment="1">
      <alignment horizontal="center"/>
    </xf>
    <xf numFmtId="49" fontId="1" fillId="7" borderId="4" xfId="6" applyNumberFormat="1" applyBorder="1" applyAlignment="1">
      <alignment horizontal="center"/>
    </xf>
    <xf numFmtId="49" fontId="1" fillId="7" borderId="5" xfId="6" applyNumberFormat="1" applyBorder="1" applyAlignment="1">
      <alignment horizontal="center"/>
    </xf>
    <xf numFmtId="49" fontId="1" fillId="5" borderId="3" xfId="4" applyNumberFormat="1" applyBorder="1" applyAlignment="1">
      <alignment horizontal="center"/>
    </xf>
    <xf numFmtId="49" fontId="1" fillId="5" borderId="4" xfId="4" applyNumberFormat="1" applyBorder="1" applyAlignment="1">
      <alignment horizontal="center"/>
    </xf>
    <xf numFmtId="49" fontId="1" fillId="5" borderId="5" xfId="4" applyNumberFormat="1" applyBorder="1" applyAlignment="1">
      <alignment horizontal="center"/>
    </xf>
    <xf numFmtId="49" fontId="1" fillId="3" borderId="3" xfId="2" applyNumberFormat="1" applyBorder="1" applyAlignment="1">
      <alignment horizontal="center" vertical="center" wrapText="1"/>
    </xf>
    <xf numFmtId="49" fontId="1" fillId="3" borderId="4" xfId="2" applyNumberFormat="1" applyBorder="1" applyAlignment="1">
      <alignment horizontal="center" vertical="center" wrapText="1"/>
    </xf>
    <xf numFmtId="49" fontId="1" fillId="3" borderId="5" xfId="2" applyNumberFormat="1" applyBorder="1" applyAlignment="1">
      <alignment horizontal="center" vertical="center" wrapText="1"/>
    </xf>
    <xf numFmtId="49" fontId="1" fillId="9" borderId="3" xfId="8" applyNumberFormat="1" applyBorder="1" applyAlignment="1">
      <alignment horizontal="center"/>
    </xf>
    <xf numFmtId="49" fontId="1" fillId="9" borderId="4" xfId="8" applyNumberFormat="1" applyBorder="1" applyAlignment="1">
      <alignment horizontal="center"/>
    </xf>
    <xf numFmtId="49" fontId="1" fillId="9" borderId="5" xfId="8" applyNumberFormat="1" applyBorder="1" applyAlignment="1">
      <alignment horizontal="center"/>
    </xf>
    <xf numFmtId="49" fontId="1" fillId="11" borderId="3" xfId="10" applyNumberFormat="1" applyBorder="1" applyAlignment="1">
      <alignment horizontal="center"/>
    </xf>
    <xf numFmtId="49" fontId="1" fillId="11" borderId="4" xfId="10" applyNumberFormat="1" applyBorder="1" applyAlignment="1">
      <alignment horizontal="center"/>
    </xf>
    <xf numFmtId="49" fontId="1" fillId="11" borderId="5" xfId="10" applyNumberFormat="1" applyBorder="1" applyAlignment="1">
      <alignment horizontal="center"/>
    </xf>
    <xf numFmtId="49" fontId="1" fillId="7" borderId="2" xfId="6" applyNumberFormat="1" applyBorder="1" applyAlignment="1">
      <alignment horizontal="center"/>
    </xf>
    <xf numFmtId="49" fontId="1" fillId="7" borderId="2" xfId="6" applyNumberFormat="1" applyBorder="1" applyAlignment="1">
      <alignment horizontal="center" vertical="center" wrapText="1"/>
    </xf>
    <xf numFmtId="0" fontId="1" fillId="7" borderId="8" xfId="6" applyBorder="1" applyAlignment="1">
      <alignment horizontal="center"/>
    </xf>
    <xf numFmtId="0" fontId="1" fillId="7" borderId="11" xfId="6" applyBorder="1" applyAlignment="1">
      <alignment horizontal="center"/>
    </xf>
    <xf numFmtId="49" fontId="1" fillId="3" borderId="2" xfId="2" applyNumberFormat="1" applyBorder="1" applyAlignment="1">
      <alignment horizontal="center" vertical="center" wrapText="1"/>
    </xf>
    <xf numFmtId="49" fontId="1" fillId="5" borderId="2" xfId="4" applyNumberFormat="1" applyBorder="1" applyAlignment="1">
      <alignment horizontal="center"/>
    </xf>
    <xf numFmtId="49" fontId="1" fillId="9" borderId="2" xfId="8" applyNumberFormat="1" applyBorder="1" applyAlignment="1">
      <alignment horizontal="center"/>
    </xf>
    <xf numFmtId="49" fontId="1" fillId="11" borderId="2" xfId="10" applyNumberFormat="1" applyBorder="1" applyAlignment="1">
      <alignment horizontal="center"/>
    </xf>
    <xf numFmtId="0" fontId="5" fillId="14" borderId="2" xfId="12" applyBorder="1"/>
    <xf numFmtId="0" fontId="5" fillId="14" borderId="2" xfId="12" applyBorder="1" applyAlignment="1">
      <alignment vertical="center"/>
    </xf>
    <xf numFmtId="0" fontId="5" fillId="14" borderId="0" xfId="12"/>
    <xf numFmtId="10" fontId="5" fillId="14" borderId="2" xfId="12" applyNumberFormat="1" applyBorder="1" applyAlignment="1">
      <alignment vertical="center"/>
    </xf>
    <xf numFmtId="0" fontId="1" fillId="15" borderId="2" xfId="13" applyBorder="1"/>
    <xf numFmtId="0" fontId="1" fillId="15" borderId="2" xfId="13" applyBorder="1" applyAlignment="1">
      <alignment vertical="center"/>
    </xf>
    <xf numFmtId="10" fontId="1" fillId="15" borderId="2" xfId="13" applyNumberFormat="1" applyBorder="1" applyAlignment="1">
      <alignment vertical="center"/>
    </xf>
    <xf numFmtId="0" fontId="1" fillId="15" borderId="2" xfId="13" applyBorder="1" applyAlignment="1">
      <alignment horizontal="right" vertical="center" wrapText="1"/>
    </xf>
    <xf numFmtId="0" fontId="1" fillId="15" borderId="0" xfId="13"/>
  </cellXfs>
  <cellStyles count="14">
    <cellStyle name="20% - Accent4" xfId="13" builtinId="42"/>
    <cellStyle name="40% - Accent1" xfId="2" builtinId="31"/>
    <cellStyle name="40% - Accent2" xfId="4" builtinId="35"/>
    <cellStyle name="40% - Accent3" xfId="6" builtinId="39"/>
    <cellStyle name="40% - Accent4" xfId="8" builtinId="43"/>
    <cellStyle name="40% - Accent6" xfId="10" builtinId="51"/>
    <cellStyle name="Accent1" xfId="1" builtinId="29"/>
    <cellStyle name="Accent2" xfId="3" builtinId="33"/>
    <cellStyle name="Accent3" xfId="5" builtinId="37"/>
    <cellStyle name="Accent4" xfId="7" builtinId="41"/>
    <cellStyle name="Accent5" xfId="11" builtinId="45"/>
    <cellStyle name="Accent6" xfId="9" builtinId="49"/>
    <cellStyle name="Good" xfId="12" builtinId="26"/>
    <cellStyle name="Normal" xfId="0" builtinId="0"/>
  </cellStyles>
  <dxfs count="36"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2:P29" totalsRowShown="0" headerRowDxfId="35" headerRowBorderDxfId="34" tableBorderDxfId="33" headerRowCellStyle="40% - Accent3">
  <autoFilter ref="B2:P29" xr:uid="{00000000-0009-0000-0100-000002000000}"/>
  <sortState xmlns:xlrd2="http://schemas.microsoft.com/office/spreadsheetml/2017/richdata2" ref="B3:P29">
    <sortCondition ref="J2:J29"/>
  </sortState>
  <tableColumns count="15">
    <tableColumn id="1" xr3:uid="{00000000-0010-0000-0000-000001000000}" name="Production" dataDxfId="32" dataCellStyle="40% - Accent1"/>
    <tableColumn id="2" xr3:uid="{00000000-0010-0000-0000-000002000000}" name="Unit" dataDxfId="31" dataCellStyle="40% - Accent1"/>
    <tableColumn id="3" xr3:uid="{00000000-0010-0000-0000-000003000000}" name="Growth rate" dataDxfId="30" dataCellStyle="40% - Accent1"/>
    <tableColumn id="4" xr3:uid="{00000000-0010-0000-0000-000004000000}" name="Production2" dataDxfId="29" dataCellStyle="40% - Accent2"/>
    <tableColumn id="5" xr3:uid="{00000000-0010-0000-0000-000005000000}" name="Unit3" dataDxfId="28" dataCellStyle="40% - Accent2"/>
    <tableColumn id="6" xr3:uid="{00000000-0010-0000-0000-000006000000}" name="Growth rate4" dataDxfId="27" dataCellStyle="40% - Accent2"/>
    <tableColumn id="7" xr3:uid="{00000000-0010-0000-0000-000007000000}" name="Production5" dataDxfId="26" dataCellStyle="40% - Accent4"/>
    <tableColumn id="8" xr3:uid="{00000000-0010-0000-0000-000008000000}" name="Unit2" dataDxfId="25" dataCellStyle="40% - Accent4"/>
    <tableColumn id="9" xr3:uid="{00000000-0010-0000-0000-000009000000}" name="Growth rate7" dataDxfId="24" dataCellStyle="40% - Accent4"/>
    <tableColumn id="10" xr3:uid="{00000000-0010-0000-0000-00000A000000}" name="Production8" dataDxfId="23" dataCellStyle="40% - Accent6"/>
    <tableColumn id="11" xr3:uid="{00000000-0010-0000-0000-00000B000000}" name="Unit4" dataDxfId="22" dataCellStyle="40% - Accent6"/>
    <tableColumn id="12" xr3:uid="{00000000-0010-0000-0000-00000C000000}" name="Growth rate10" dataDxfId="21" dataCellStyle="40% - Accent6"/>
    <tableColumn id="13" xr3:uid="{00000000-0010-0000-0000-00000D000000}" name="Production11" dataDxfId="20" dataCellStyle="40% - Accent3"/>
    <tableColumn id="14" xr3:uid="{00000000-0010-0000-0000-00000E000000}" name="Unit5" dataDxfId="19" dataCellStyle="40% - Accent3"/>
    <tableColumn id="15" xr3:uid="{00000000-0010-0000-0000-00000F000000}" name="Growth rate13" dataDxfId="18" dataCellStyle="40% - Accent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6" displayName="Table26" ref="B2:P14" totalsRowShown="0" headerRowDxfId="17" headerRowBorderDxfId="16" tableBorderDxfId="15" headerRowCellStyle="40% - Accent3">
  <autoFilter ref="B2:P14" xr:uid="{00000000-0009-0000-0100-000005000000}"/>
  <sortState xmlns:xlrd2="http://schemas.microsoft.com/office/spreadsheetml/2017/richdata2" ref="B3:P29">
    <sortCondition ref="J2:J29"/>
  </sortState>
  <tableColumns count="15">
    <tableColumn id="1" xr3:uid="{00000000-0010-0000-0100-000001000000}" name="Production" dataDxfId="14" dataCellStyle="40% - Accent1"/>
    <tableColumn id="2" xr3:uid="{00000000-0010-0000-0100-000002000000}" name="Unit" dataDxfId="13" dataCellStyle="40% - Accent1"/>
    <tableColumn id="3" xr3:uid="{00000000-0010-0000-0100-000003000000}" name="Growth rate" dataDxfId="12" dataCellStyle="40% - Accent1"/>
    <tableColumn id="4" xr3:uid="{00000000-0010-0000-0100-000004000000}" name="Production2" dataDxfId="11" dataCellStyle="40% - Accent2"/>
    <tableColumn id="5" xr3:uid="{00000000-0010-0000-0100-000005000000}" name="Unit3" dataDxfId="10" dataCellStyle="40% - Accent2"/>
    <tableColumn id="6" xr3:uid="{00000000-0010-0000-0100-000006000000}" name="Growth rate4" dataDxfId="9" dataCellStyle="40% - Accent2"/>
    <tableColumn id="7" xr3:uid="{00000000-0010-0000-0100-000007000000}" name="Production5" dataDxfId="8" dataCellStyle="40% - Accent4"/>
    <tableColumn id="8" xr3:uid="{00000000-0010-0000-0100-000008000000}" name="Unit2" dataDxfId="7" dataCellStyle="40% - Accent4"/>
    <tableColumn id="9" xr3:uid="{00000000-0010-0000-0100-000009000000}" name="Growth rate7" dataDxfId="6" dataCellStyle="40% - Accent4"/>
    <tableColumn id="10" xr3:uid="{00000000-0010-0000-0100-00000A000000}" name="Production8" dataDxfId="5" dataCellStyle="40% - Accent6"/>
    <tableColumn id="11" xr3:uid="{00000000-0010-0000-0100-00000B000000}" name="Unit4" dataDxfId="4" dataCellStyle="40% - Accent6"/>
    <tableColumn id="12" xr3:uid="{00000000-0010-0000-0100-00000C000000}" name="Growth rate10" dataDxfId="3" dataCellStyle="40% - Accent6"/>
    <tableColumn id="13" xr3:uid="{00000000-0010-0000-0100-00000D000000}" name="Production11" dataDxfId="2" dataCellStyle="40% - Accent3"/>
    <tableColumn id="14" xr3:uid="{00000000-0010-0000-0100-00000E000000}" name="Unit5" dataDxfId="1" dataCellStyle="40% - Accent3"/>
    <tableColumn id="15" xr3:uid="{00000000-0010-0000-0100-00000F000000}" name="Growth rate13" dataDxfId="0" dataCellStyle="40% - Accent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1"/>
  <sheetViews>
    <sheetView topLeftCell="A22" workbookViewId="0">
      <selection activeCell="D49" sqref="D49"/>
    </sheetView>
  </sheetViews>
  <sheetFormatPr defaultRowHeight="15" x14ac:dyDescent="0.25"/>
  <cols>
    <col min="1" max="1" width="5.85546875" customWidth="1"/>
    <col min="2" max="2" width="12.85546875" customWidth="1"/>
    <col min="3" max="3" width="11" customWidth="1"/>
    <col min="4" max="4" width="13.7109375" customWidth="1"/>
    <col min="5" max="5" width="17" customWidth="1"/>
    <col min="6" max="6" width="10.7109375" customWidth="1"/>
    <col min="7" max="7" width="14.7109375" customWidth="1"/>
    <col min="8" max="8" width="13.85546875" customWidth="1"/>
    <col min="9" max="9" width="10.85546875" customWidth="1"/>
    <col min="10" max="10" width="14.7109375" customWidth="1"/>
    <col min="11" max="11" width="13.85546875" customWidth="1"/>
    <col min="12" max="12" width="11" customWidth="1"/>
    <col min="13" max="13" width="15.7109375" customWidth="1"/>
    <col min="14" max="14" width="14.85546875" customWidth="1"/>
    <col min="15" max="15" width="10.5703125" customWidth="1"/>
    <col min="16" max="16" width="15.7109375" customWidth="1"/>
  </cols>
  <sheetData>
    <row r="1" spans="1:26" s="1" customFormat="1" ht="15" customHeight="1" x14ac:dyDescent="0.25">
      <c r="A1" s="7" t="s">
        <v>2</v>
      </c>
      <c r="B1" s="75" t="s">
        <v>0</v>
      </c>
      <c r="C1" s="76"/>
      <c r="D1" s="77"/>
      <c r="E1" s="72" t="s">
        <v>3</v>
      </c>
      <c r="F1" s="73"/>
      <c r="G1" s="74"/>
      <c r="H1" s="78" t="s">
        <v>7</v>
      </c>
      <c r="I1" s="79"/>
      <c r="J1" s="80"/>
      <c r="K1" s="81" t="s">
        <v>8</v>
      </c>
      <c r="L1" s="82"/>
      <c r="M1" s="83"/>
      <c r="N1" s="69" t="s">
        <v>9</v>
      </c>
      <c r="O1" s="70"/>
      <c r="P1" s="7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" customFormat="1" ht="15" customHeight="1" x14ac:dyDescent="0.25">
      <c r="A2" s="7"/>
      <c r="B2" s="27" t="s">
        <v>4</v>
      </c>
      <c r="C2" s="28" t="s">
        <v>5</v>
      </c>
      <c r="D2" s="28" t="s">
        <v>6</v>
      </c>
      <c r="E2" s="33" t="s">
        <v>11</v>
      </c>
      <c r="F2" s="33" t="s">
        <v>12</v>
      </c>
      <c r="G2" s="33" t="s">
        <v>13</v>
      </c>
      <c r="H2" s="34" t="s">
        <v>14</v>
      </c>
      <c r="I2" s="48" t="s">
        <v>20</v>
      </c>
      <c r="J2" s="34" t="s">
        <v>15</v>
      </c>
      <c r="K2" s="35" t="s">
        <v>16</v>
      </c>
      <c r="L2" s="49" t="s">
        <v>21</v>
      </c>
      <c r="M2" s="35" t="s">
        <v>17</v>
      </c>
      <c r="N2" s="36" t="s">
        <v>18</v>
      </c>
      <c r="O2" s="50" t="s">
        <v>22</v>
      </c>
      <c r="P2" s="37" t="s">
        <v>19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8">
        <v>1997</v>
      </c>
      <c r="B3" s="23">
        <v>4535</v>
      </c>
      <c r="C3" s="4" t="s">
        <v>1</v>
      </c>
      <c r="D3" s="11">
        <v>-4.1200000000000001E-2</v>
      </c>
      <c r="E3" s="6">
        <v>1008</v>
      </c>
      <c r="F3" s="6" t="s">
        <v>1</v>
      </c>
      <c r="G3" s="12">
        <v>0.64710000000000001</v>
      </c>
      <c r="H3" s="13">
        <v>645</v>
      </c>
      <c r="I3" s="13" t="s">
        <v>1</v>
      </c>
      <c r="J3" s="14">
        <v>-0.15690000000000001</v>
      </c>
      <c r="K3" s="16">
        <v>193</v>
      </c>
      <c r="L3" s="16" t="s">
        <v>1</v>
      </c>
      <c r="M3" s="17">
        <v>-0.1023</v>
      </c>
      <c r="N3" s="9">
        <v>71</v>
      </c>
      <c r="O3" s="9" t="s">
        <v>1</v>
      </c>
      <c r="P3" s="25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25">
      <c r="A4" s="8">
        <v>1998</v>
      </c>
      <c r="B4" s="23">
        <v>7365</v>
      </c>
      <c r="C4" s="4" t="s">
        <v>1</v>
      </c>
      <c r="D4" s="11">
        <v>4.5400000000000003E-2</v>
      </c>
      <c r="E4" s="6">
        <v>1458</v>
      </c>
      <c r="F4" s="6" t="s">
        <v>1</v>
      </c>
      <c r="G4" s="12">
        <v>-2.41E-2</v>
      </c>
      <c r="H4" s="13">
        <v>479</v>
      </c>
      <c r="I4" s="13" t="s">
        <v>1</v>
      </c>
      <c r="J4" s="14">
        <v>-0.1492</v>
      </c>
      <c r="K4" s="16">
        <v>163</v>
      </c>
      <c r="L4" s="16" t="s">
        <v>1</v>
      </c>
      <c r="M4" s="17">
        <v>-2.98E-2</v>
      </c>
      <c r="N4" s="9">
        <v>65</v>
      </c>
      <c r="O4" s="9" t="s">
        <v>1</v>
      </c>
      <c r="P4" s="25">
        <v>0.1207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5">
      <c r="A5" s="8">
        <v>1999</v>
      </c>
      <c r="B5" s="23">
        <v>9856</v>
      </c>
      <c r="C5" s="4" t="s">
        <v>1</v>
      </c>
      <c r="D5" s="11">
        <v>0.12239999999999999</v>
      </c>
      <c r="E5" s="6">
        <v>1683</v>
      </c>
      <c r="F5" s="6" t="s">
        <v>1</v>
      </c>
      <c r="G5" s="12">
        <v>0.19869999999999999</v>
      </c>
      <c r="H5" s="13">
        <v>417</v>
      </c>
      <c r="I5" s="13" t="s">
        <v>1</v>
      </c>
      <c r="J5" s="14">
        <v>-0.1313</v>
      </c>
      <c r="K5" s="16">
        <v>165</v>
      </c>
      <c r="L5" s="16" t="s">
        <v>1</v>
      </c>
      <c r="M5" s="17">
        <v>1.8499999999999999E-2</v>
      </c>
      <c r="N5" s="9">
        <v>72</v>
      </c>
      <c r="O5" s="9" t="s">
        <v>1</v>
      </c>
      <c r="P5" s="25">
        <v>5.8799999999999998E-2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25">
      <c r="A6" s="8">
        <v>2000</v>
      </c>
      <c r="B6" s="23">
        <v>5421</v>
      </c>
      <c r="C6" s="4" t="s">
        <v>1</v>
      </c>
      <c r="D6" s="11">
        <v>0.19539999999999999</v>
      </c>
      <c r="E6" s="6">
        <v>900</v>
      </c>
      <c r="F6" s="6" t="s">
        <v>1</v>
      </c>
      <c r="G6" s="12">
        <v>-0.1071</v>
      </c>
      <c r="H6" s="13">
        <v>579</v>
      </c>
      <c r="I6" s="13" t="s">
        <v>1</v>
      </c>
      <c r="J6" s="14">
        <v>-0.1023</v>
      </c>
      <c r="K6" s="16">
        <v>173</v>
      </c>
      <c r="L6" s="16" t="s">
        <v>1</v>
      </c>
      <c r="M6" s="17">
        <v>-0.1036</v>
      </c>
      <c r="N6" s="9">
        <v>71</v>
      </c>
      <c r="O6" s="9" t="s">
        <v>1</v>
      </c>
      <c r="P6" s="25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25">
      <c r="A7" s="8">
        <v>2001</v>
      </c>
      <c r="B7" s="23">
        <v>10931</v>
      </c>
      <c r="C7" s="4" t="s">
        <v>1</v>
      </c>
      <c r="D7" s="11">
        <v>0.1091</v>
      </c>
      <c r="E7" s="6">
        <v>1854</v>
      </c>
      <c r="F7" s="6" t="s">
        <v>1</v>
      </c>
      <c r="G7" s="12">
        <v>0.1016</v>
      </c>
      <c r="H7" s="13">
        <v>380</v>
      </c>
      <c r="I7" s="13" t="s">
        <v>1</v>
      </c>
      <c r="J7" s="14">
        <v>-8.8700000000000001E-2</v>
      </c>
      <c r="K7" s="16">
        <v>146</v>
      </c>
      <c r="L7" s="16" t="s">
        <v>1</v>
      </c>
      <c r="M7" s="17">
        <v>-0.1152</v>
      </c>
      <c r="N7" s="9">
        <v>71</v>
      </c>
      <c r="O7" s="9" t="s">
        <v>1</v>
      </c>
      <c r="P7" s="25">
        <v>-1.3899999999999999E-2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 x14ac:dyDescent="0.25">
      <c r="A8" s="8">
        <v>2002</v>
      </c>
      <c r="B8" s="23">
        <v>1383</v>
      </c>
      <c r="C8" s="4" t="s">
        <v>1</v>
      </c>
      <c r="D8" s="11">
        <v>0.14960000000000001</v>
      </c>
      <c r="E8" s="6">
        <v>859</v>
      </c>
      <c r="F8" s="6" t="s">
        <v>1</v>
      </c>
      <c r="G8" s="12">
        <v>0.3075</v>
      </c>
      <c r="H8" s="13">
        <v>670</v>
      </c>
      <c r="I8" s="13" t="s">
        <v>1</v>
      </c>
      <c r="J8" s="14">
        <v>-2.9000000000000001E-2</v>
      </c>
      <c r="K8" s="16">
        <v>204</v>
      </c>
      <c r="L8" s="16" t="s">
        <v>1</v>
      </c>
      <c r="M8" s="17">
        <v>-0.1673</v>
      </c>
      <c r="N8" s="9">
        <v>63</v>
      </c>
      <c r="O8" s="9" t="s">
        <v>1</v>
      </c>
      <c r="P8" s="25">
        <v>-0.42199999999999999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 x14ac:dyDescent="0.25">
      <c r="A9" s="8">
        <v>2003</v>
      </c>
      <c r="B9" s="23">
        <v>7045</v>
      </c>
      <c r="C9" s="4" t="s">
        <v>1</v>
      </c>
      <c r="D9" s="11">
        <v>9.9099999999999994E-2</v>
      </c>
      <c r="E9" s="6">
        <v>1494</v>
      </c>
      <c r="F9" s="6" t="s">
        <v>1</v>
      </c>
      <c r="G9" s="12">
        <v>0.27689999999999998</v>
      </c>
      <c r="H9" s="13">
        <v>563</v>
      </c>
      <c r="I9" s="13" t="s">
        <v>1</v>
      </c>
      <c r="J9" s="14">
        <v>-2.2599999999999999E-2</v>
      </c>
      <c r="K9" s="16">
        <v>168</v>
      </c>
      <c r="L9" s="16" t="s">
        <v>1</v>
      </c>
      <c r="M9" s="17">
        <v>-1.7500000000000002E-2</v>
      </c>
      <c r="N9" s="9">
        <v>58</v>
      </c>
      <c r="O9" s="9" t="s">
        <v>1</v>
      </c>
      <c r="P9" s="25">
        <v>-0.1212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5">
      <c r="A10" s="8">
        <v>2004</v>
      </c>
      <c r="B10" s="23">
        <v>16397</v>
      </c>
      <c r="C10" s="4" t="s">
        <v>1</v>
      </c>
      <c r="D10" s="11">
        <v>7.6499999999999999E-2</v>
      </c>
      <c r="E10" s="6">
        <v>1512</v>
      </c>
      <c r="F10" s="6" t="s">
        <v>1</v>
      </c>
      <c r="G10" s="12">
        <v>-0.125</v>
      </c>
      <c r="H10" s="13">
        <v>468</v>
      </c>
      <c r="I10" s="13" t="s">
        <v>1</v>
      </c>
      <c r="J10" s="14">
        <v>-2.0899999999999998E-2</v>
      </c>
      <c r="K10" s="16">
        <v>183</v>
      </c>
      <c r="L10" s="16" t="s">
        <v>1</v>
      </c>
      <c r="M10" s="17">
        <v>3.9800000000000002E-2</v>
      </c>
      <c r="N10" s="9">
        <v>94</v>
      </c>
      <c r="O10" s="9" t="s">
        <v>1</v>
      </c>
      <c r="P10" s="25">
        <v>1.0800000000000001E-2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25">
      <c r="A11" s="8">
        <v>2005</v>
      </c>
      <c r="B11" s="23">
        <v>16666</v>
      </c>
      <c r="C11" s="4" t="s">
        <v>1</v>
      </c>
      <c r="D11" s="11">
        <v>1.6400000000000001E-2</v>
      </c>
      <c r="E11" s="6">
        <v>1710</v>
      </c>
      <c r="F11" s="6" t="s">
        <v>1</v>
      </c>
      <c r="G11" s="12">
        <v>0.13100000000000001</v>
      </c>
      <c r="H11" s="13">
        <v>460</v>
      </c>
      <c r="I11" s="13" t="s">
        <v>1</v>
      </c>
      <c r="J11" s="14">
        <v>-1.7100000000000001E-2</v>
      </c>
      <c r="K11" s="16">
        <v>183</v>
      </c>
      <c r="L11" s="16" t="s">
        <v>1</v>
      </c>
      <c r="M11" s="17">
        <v>0</v>
      </c>
      <c r="N11" s="9">
        <v>95</v>
      </c>
      <c r="O11" s="9" t="s">
        <v>1</v>
      </c>
      <c r="P11" s="25">
        <v>1.06E-2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8">
        <v>2006</v>
      </c>
      <c r="B12" s="23">
        <v>6410</v>
      </c>
      <c r="C12" s="4" t="s">
        <v>1</v>
      </c>
      <c r="D12" s="11">
        <v>4.24E-2</v>
      </c>
      <c r="E12" s="6">
        <v>1170</v>
      </c>
      <c r="F12" s="6" t="s">
        <v>1</v>
      </c>
      <c r="G12" s="12">
        <v>-8.4500000000000006E-2</v>
      </c>
      <c r="H12" s="13">
        <v>576</v>
      </c>
      <c r="I12" s="13" t="s">
        <v>1</v>
      </c>
      <c r="J12" s="14">
        <v>-5.1999999999999998E-3</v>
      </c>
      <c r="K12" s="16">
        <v>171</v>
      </c>
      <c r="L12" s="16" t="s">
        <v>1</v>
      </c>
      <c r="M12" s="17">
        <v>6.2100000000000002E-2</v>
      </c>
      <c r="N12" s="9">
        <v>66</v>
      </c>
      <c r="O12" s="9" t="s">
        <v>1</v>
      </c>
      <c r="P12" s="25">
        <v>-8.3299999999999999E-2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8">
        <v>2007</v>
      </c>
      <c r="B13" s="23">
        <v>2050</v>
      </c>
      <c r="C13" s="4" t="s">
        <v>1</v>
      </c>
      <c r="D13" s="11">
        <v>0.48230000000000001</v>
      </c>
      <c r="E13" s="6">
        <v>972</v>
      </c>
      <c r="F13" s="6" t="s">
        <v>1</v>
      </c>
      <c r="G13" s="12">
        <v>0.13150000000000001</v>
      </c>
      <c r="H13" s="13">
        <v>667</v>
      </c>
      <c r="I13" s="13" t="s">
        <v>1</v>
      </c>
      <c r="J13" s="14">
        <v>-4.4999999999999997E-3</v>
      </c>
      <c r="K13" s="16">
        <v>204</v>
      </c>
      <c r="L13" s="16" t="s">
        <v>1</v>
      </c>
      <c r="M13" s="17">
        <v>0</v>
      </c>
      <c r="N13" s="9">
        <v>60</v>
      </c>
      <c r="O13" s="9" t="s">
        <v>1</v>
      </c>
      <c r="P13" s="25">
        <v>-4.7600000000000003E-2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8">
        <v>2008</v>
      </c>
      <c r="B14" s="23">
        <v>11648</v>
      </c>
      <c r="C14" s="4" t="s">
        <v>1</v>
      </c>
      <c r="D14" s="11">
        <v>6.5600000000000006E-2</v>
      </c>
      <c r="E14" s="6">
        <v>1944</v>
      </c>
      <c r="F14" s="6" t="s">
        <v>1</v>
      </c>
      <c r="G14" s="12">
        <v>4.8500000000000001E-2</v>
      </c>
      <c r="H14" s="13">
        <v>379</v>
      </c>
      <c r="I14" s="13" t="s">
        <v>1</v>
      </c>
      <c r="J14" s="14">
        <v>-2.5999999999999999E-3</v>
      </c>
      <c r="K14" s="16">
        <v>144</v>
      </c>
      <c r="L14" s="16" t="s">
        <v>1</v>
      </c>
      <c r="M14" s="17">
        <v>-1.37E-2</v>
      </c>
      <c r="N14" s="9">
        <v>70</v>
      </c>
      <c r="O14" s="9" t="s">
        <v>1</v>
      </c>
      <c r="P14" s="25">
        <v>-1.41E-2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25">
      <c r="A15" s="8">
        <v>2009</v>
      </c>
      <c r="B15" s="23">
        <v>6149</v>
      </c>
      <c r="C15" s="4" t="s">
        <v>1</v>
      </c>
      <c r="D15" s="11">
        <v>0.1343</v>
      </c>
      <c r="E15" s="6">
        <v>1278</v>
      </c>
      <c r="F15" s="6" t="s">
        <v>1</v>
      </c>
      <c r="G15" s="12">
        <v>0.42</v>
      </c>
      <c r="H15" s="13">
        <v>579</v>
      </c>
      <c r="I15" s="13" t="s">
        <v>1</v>
      </c>
      <c r="J15" s="14">
        <v>0</v>
      </c>
      <c r="K15" s="16">
        <v>161</v>
      </c>
      <c r="L15" s="16" t="s">
        <v>1</v>
      </c>
      <c r="M15" s="17">
        <v>-6.9400000000000003E-2</v>
      </c>
      <c r="N15" s="9">
        <v>72</v>
      </c>
      <c r="O15" s="9" t="s">
        <v>1</v>
      </c>
      <c r="P15" s="25">
        <v>1.41E-2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25">
      <c r="A16" s="8">
        <v>2010</v>
      </c>
      <c r="B16" s="23">
        <v>8781</v>
      </c>
      <c r="C16" s="4" t="s">
        <v>1</v>
      </c>
      <c r="D16" s="11">
        <v>0.1923</v>
      </c>
      <c r="E16" s="6">
        <v>1404</v>
      </c>
      <c r="F16" s="6" t="s">
        <v>1</v>
      </c>
      <c r="G16" s="12">
        <v>-3.6999999999999998E-2</v>
      </c>
      <c r="H16" s="13">
        <v>480</v>
      </c>
      <c r="I16" s="13" t="s">
        <v>1</v>
      </c>
      <c r="J16" s="14">
        <v>2.0999999999999999E-3</v>
      </c>
      <c r="K16" s="16">
        <v>162</v>
      </c>
      <c r="L16" s="16" t="s">
        <v>1</v>
      </c>
      <c r="M16" s="17">
        <v>-6.1000000000000004E-3</v>
      </c>
      <c r="N16" s="9">
        <v>68</v>
      </c>
      <c r="O16" s="9" t="s">
        <v>1</v>
      </c>
      <c r="P16" s="25">
        <v>4.6199999999999998E-2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25">
      <c r="A17" s="8">
        <v>2011</v>
      </c>
      <c r="B17" s="23">
        <v>16128</v>
      </c>
      <c r="C17" s="4" t="s">
        <v>1</v>
      </c>
      <c r="D17" s="11">
        <v>2.2700000000000001E-2</v>
      </c>
      <c r="E17" s="6">
        <v>1386</v>
      </c>
      <c r="F17" s="6" t="s">
        <v>1</v>
      </c>
      <c r="G17" s="12">
        <v>-0.1444</v>
      </c>
      <c r="H17" s="13">
        <v>468</v>
      </c>
      <c r="I17" s="13" t="s">
        <v>1</v>
      </c>
      <c r="J17" s="14">
        <v>4.3E-3</v>
      </c>
      <c r="K17" s="16">
        <v>177</v>
      </c>
      <c r="L17" s="16" t="s">
        <v>1</v>
      </c>
      <c r="M17" s="17">
        <v>1.14E-2</v>
      </c>
      <c r="N17" s="9">
        <v>87</v>
      </c>
      <c r="O17" s="9" t="s">
        <v>1</v>
      </c>
      <c r="P17" s="25">
        <v>-9.3799999999999994E-2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25">
      <c r="A18" s="8">
        <v>2012</v>
      </c>
      <c r="B18" s="23">
        <v>3240</v>
      </c>
      <c r="C18" s="4" t="s">
        <v>1</v>
      </c>
      <c r="D18" s="11">
        <v>0.30649999999999999</v>
      </c>
      <c r="E18" s="6">
        <v>810</v>
      </c>
      <c r="F18" s="6" t="s">
        <v>1</v>
      </c>
      <c r="G18" s="12">
        <v>2.2700000000000001E-2</v>
      </c>
      <c r="H18" s="13">
        <v>687</v>
      </c>
      <c r="I18" s="13" t="s">
        <v>1</v>
      </c>
      <c r="J18" s="14">
        <v>1.03E-2</v>
      </c>
      <c r="K18" s="16">
        <v>194</v>
      </c>
      <c r="L18" s="16" t="s">
        <v>1</v>
      </c>
      <c r="M18" s="17">
        <v>-0.12609999999999999</v>
      </c>
      <c r="N18" s="9">
        <v>77</v>
      </c>
      <c r="O18" s="9" t="s">
        <v>1</v>
      </c>
      <c r="P18" s="25">
        <v>0.4259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25">
      <c r="A19" s="8">
        <v>2013</v>
      </c>
      <c r="B19" s="23">
        <v>2480</v>
      </c>
      <c r="C19" s="4" t="s">
        <v>1</v>
      </c>
      <c r="D19" s="11">
        <v>0.20979999999999999</v>
      </c>
      <c r="E19" s="6">
        <v>792</v>
      </c>
      <c r="F19" s="6" t="s">
        <v>1</v>
      </c>
      <c r="G19" s="12">
        <v>-0.1852</v>
      </c>
      <c r="H19" s="13">
        <v>680</v>
      </c>
      <c r="I19" s="13" t="s">
        <v>1</v>
      </c>
      <c r="J19" s="14">
        <v>1.95E-2</v>
      </c>
      <c r="K19" s="16">
        <v>222</v>
      </c>
      <c r="L19" s="16" t="s">
        <v>1</v>
      </c>
      <c r="M19" s="17">
        <v>8.8200000000000001E-2</v>
      </c>
      <c r="N19" s="9">
        <v>54</v>
      </c>
      <c r="O19" s="9" t="s">
        <v>1</v>
      </c>
      <c r="P19" s="25">
        <v>-0.1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25">
      <c r="A20" s="8">
        <v>2014</v>
      </c>
      <c r="B20" s="23">
        <v>15232</v>
      </c>
      <c r="C20" s="4" t="s">
        <v>1</v>
      </c>
      <c r="D20" s="11">
        <v>-5.5599999999999997E-2</v>
      </c>
      <c r="E20" s="6">
        <v>1728</v>
      </c>
      <c r="F20" s="6" t="s">
        <v>1</v>
      </c>
      <c r="G20" s="12">
        <v>0.24679999999999999</v>
      </c>
      <c r="H20" s="13">
        <v>478</v>
      </c>
      <c r="I20" s="13" t="s">
        <v>1</v>
      </c>
      <c r="J20" s="14">
        <v>2.1399999999999999E-2</v>
      </c>
      <c r="K20" s="16">
        <v>176</v>
      </c>
      <c r="L20" s="16" t="s">
        <v>1</v>
      </c>
      <c r="M20" s="17">
        <v>-5.5999999999999999E-3</v>
      </c>
      <c r="N20" s="9">
        <v>93</v>
      </c>
      <c r="O20" s="9" t="s">
        <v>1</v>
      </c>
      <c r="P20" s="25">
        <v>6.9000000000000006E-2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25">
      <c r="A21" s="8">
        <v>2015</v>
      </c>
      <c r="B21" s="23">
        <v>12347</v>
      </c>
      <c r="C21" s="4" t="s">
        <v>1</v>
      </c>
      <c r="D21" s="11">
        <v>0.06</v>
      </c>
      <c r="E21" s="6">
        <v>1566</v>
      </c>
      <c r="F21" s="6" t="s">
        <v>1</v>
      </c>
      <c r="G21" s="12">
        <v>-0.19439999999999999</v>
      </c>
      <c r="H21" s="13">
        <v>389</v>
      </c>
      <c r="I21" s="13" t="s">
        <v>1</v>
      </c>
      <c r="J21" s="14">
        <v>2.64E-2</v>
      </c>
      <c r="K21" s="16">
        <v>160</v>
      </c>
      <c r="L21" s="16" t="s">
        <v>1</v>
      </c>
      <c r="M21" s="17">
        <v>0.1111</v>
      </c>
      <c r="N21" s="9">
        <v>66</v>
      </c>
      <c r="O21" s="9" t="s">
        <v>1</v>
      </c>
      <c r="P21" s="25">
        <v>-5.7099999999999998E-2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25">
      <c r="A22" s="8">
        <v>2016</v>
      </c>
      <c r="B22" s="23">
        <v>3575</v>
      </c>
      <c r="C22" s="4" t="s">
        <v>1</v>
      </c>
      <c r="D22" s="11">
        <v>0.10340000000000001</v>
      </c>
      <c r="E22" s="6">
        <v>792</v>
      </c>
      <c r="F22" s="6" t="s">
        <v>1</v>
      </c>
      <c r="G22" s="12">
        <v>-2.2200000000000001E-2</v>
      </c>
      <c r="H22" s="13">
        <v>707</v>
      </c>
      <c r="I22" s="13" t="s">
        <v>1</v>
      </c>
      <c r="J22" s="14">
        <v>2.9100000000000001E-2</v>
      </c>
      <c r="K22" s="16">
        <v>203</v>
      </c>
      <c r="L22" s="16" t="s">
        <v>1</v>
      </c>
      <c r="M22" s="17">
        <v>4.6399999999999997E-2</v>
      </c>
      <c r="N22" s="9">
        <v>91</v>
      </c>
      <c r="O22" s="9" t="s">
        <v>1</v>
      </c>
      <c r="P22" s="25">
        <v>0.18179999999999999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25">
      <c r="A23" s="8">
        <v>2017</v>
      </c>
      <c r="B23" s="23">
        <v>15770</v>
      </c>
      <c r="C23" s="4" t="s">
        <v>1</v>
      </c>
      <c r="D23" s="11">
        <v>7.9799999999999996E-2</v>
      </c>
      <c r="E23" s="6">
        <v>1620</v>
      </c>
      <c r="F23" s="6" t="s">
        <v>1</v>
      </c>
      <c r="G23" s="12">
        <v>0.63639999999999997</v>
      </c>
      <c r="H23" s="13">
        <v>466</v>
      </c>
      <c r="I23" s="13" t="s">
        <v>1</v>
      </c>
      <c r="J23" s="14">
        <v>4.7199999999999999E-2</v>
      </c>
      <c r="K23" s="16">
        <v>175</v>
      </c>
      <c r="L23" s="16" t="s">
        <v>1</v>
      </c>
      <c r="M23" s="17">
        <v>-5.4100000000000002E-2</v>
      </c>
      <c r="N23" s="9">
        <v>96</v>
      </c>
      <c r="O23" s="9" t="s">
        <v>1</v>
      </c>
      <c r="P23" s="25">
        <v>-8.5699999999999998E-2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25">
      <c r="A24" s="8">
        <v>2018</v>
      </c>
      <c r="B24" s="23">
        <v>15590</v>
      </c>
      <c r="C24" s="4" t="s">
        <v>1</v>
      </c>
      <c r="D24" s="11">
        <v>-6.4600000000000005E-2</v>
      </c>
      <c r="E24" s="6">
        <v>1710</v>
      </c>
      <c r="F24" s="6" t="s">
        <v>1</v>
      </c>
      <c r="G24" s="12">
        <v>0</v>
      </c>
      <c r="H24" s="13">
        <v>488</v>
      </c>
      <c r="I24" s="13" t="s">
        <v>1</v>
      </c>
      <c r="J24" s="14">
        <v>6.0900000000000003E-2</v>
      </c>
      <c r="K24" s="16">
        <v>185</v>
      </c>
      <c r="L24" s="16" t="s">
        <v>1</v>
      </c>
      <c r="M24" s="17">
        <v>1.09E-2</v>
      </c>
      <c r="N24" s="9">
        <v>90</v>
      </c>
      <c r="O24" s="9" t="s">
        <v>1</v>
      </c>
      <c r="P24" s="25">
        <v>-5.2600000000000001E-2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25">
      <c r="A25" s="8">
        <v>2019</v>
      </c>
      <c r="B25" s="23">
        <v>13350</v>
      </c>
      <c r="C25" s="4" t="s">
        <v>1</v>
      </c>
      <c r="D25" s="11">
        <v>8.1199999999999994E-2</v>
      </c>
      <c r="E25" s="6">
        <v>1386</v>
      </c>
      <c r="F25" s="6" t="s">
        <v>1</v>
      </c>
      <c r="G25" s="12">
        <v>-0.1149</v>
      </c>
      <c r="H25" s="13">
        <v>414</v>
      </c>
      <c r="I25" s="13" t="s">
        <v>1</v>
      </c>
      <c r="J25" s="14">
        <v>6.4299999999999996E-2</v>
      </c>
      <c r="K25" s="16">
        <v>182</v>
      </c>
      <c r="L25" s="16" t="s">
        <v>1</v>
      </c>
      <c r="M25" s="17">
        <v>0.13750000000000001</v>
      </c>
      <c r="N25" s="9">
        <v>77</v>
      </c>
      <c r="O25" s="9" t="s">
        <v>1</v>
      </c>
      <c r="P25" s="25">
        <v>0.16669999999999999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25">
      <c r="A26" s="8">
        <v>2020</v>
      </c>
      <c r="B26" s="23">
        <v>14605</v>
      </c>
      <c r="C26" s="4" t="s">
        <v>1</v>
      </c>
      <c r="D26" s="11">
        <v>9.4E-2</v>
      </c>
      <c r="E26" s="6">
        <v>990</v>
      </c>
      <c r="F26" s="6" t="s">
        <v>1</v>
      </c>
      <c r="G26" s="12">
        <v>-0.28570000000000001</v>
      </c>
      <c r="H26" s="13">
        <v>445</v>
      </c>
      <c r="I26" s="13" t="s">
        <v>1</v>
      </c>
      <c r="J26" s="14">
        <v>7.4899999999999994E-2</v>
      </c>
      <c r="K26" s="16">
        <v>185</v>
      </c>
      <c r="L26" s="16" t="s">
        <v>1</v>
      </c>
      <c r="M26" s="17">
        <v>1.6500000000000001E-2</v>
      </c>
      <c r="N26" s="9">
        <v>105</v>
      </c>
      <c r="O26" s="9" t="s">
        <v>1</v>
      </c>
      <c r="P26" s="25">
        <v>0.36359999999999998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25">
      <c r="A27" s="8">
        <v>2021</v>
      </c>
      <c r="B27" s="23">
        <v>4730</v>
      </c>
      <c r="C27" s="4" t="s">
        <v>1</v>
      </c>
      <c r="D27" s="11">
        <v>0.3231</v>
      </c>
      <c r="E27" s="6">
        <v>612</v>
      </c>
      <c r="F27" s="6" t="s">
        <v>1</v>
      </c>
      <c r="G27" s="12">
        <v>-0.2273</v>
      </c>
      <c r="H27" s="13">
        <v>765</v>
      </c>
      <c r="I27" s="13" t="s">
        <v>1</v>
      </c>
      <c r="J27" s="14">
        <v>8.2000000000000003E-2</v>
      </c>
      <c r="K27" s="16">
        <v>215</v>
      </c>
      <c r="L27" s="16" t="s">
        <v>1</v>
      </c>
      <c r="M27" s="17">
        <v>5.91E-2</v>
      </c>
      <c r="N27" s="9">
        <v>71</v>
      </c>
      <c r="O27" s="9" t="s">
        <v>1</v>
      </c>
      <c r="P27" s="25">
        <v>-0.2198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22" t="s">
        <v>10</v>
      </c>
      <c r="B28" s="24">
        <f>SUM(B3:B27)</f>
        <v>231684</v>
      </c>
      <c r="C28" s="5"/>
      <c r="D28" s="5"/>
      <c r="E28" s="18">
        <f>SUM(E3:E27)</f>
        <v>32638</v>
      </c>
      <c r="F28" s="6"/>
      <c r="G28" s="12"/>
      <c r="H28" s="19">
        <f>SUM(H3:H27)</f>
        <v>13329</v>
      </c>
      <c r="I28" s="15"/>
      <c r="J28" s="15"/>
      <c r="K28" s="20">
        <f>SUM(K3:K27)</f>
        <v>4494</v>
      </c>
      <c r="L28" s="16"/>
      <c r="M28" s="16"/>
      <c r="N28" s="21">
        <f>SUM(N3:N27)</f>
        <v>1903</v>
      </c>
      <c r="O28" s="9"/>
      <c r="P28" s="26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25">
      <c r="A29" s="10"/>
      <c r="B29" s="51" t="s">
        <v>0</v>
      </c>
      <c r="C29" s="51"/>
      <c r="D29" s="52"/>
      <c r="E29" s="38" t="s">
        <v>3</v>
      </c>
      <c r="F29" s="39"/>
      <c r="G29" s="40"/>
      <c r="H29" s="41" t="s">
        <v>7</v>
      </c>
      <c r="I29" s="42"/>
      <c r="J29" s="43"/>
      <c r="K29" s="44" t="s">
        <v>8</v>
      </c>
      <c r="L29" s="45"/>
      <c r="M29" s="46"/>
      <c r="N29" s="29" t="s">
        <v>9</v>
      </c>
      <c r="O29" s="47"/>
      <c r="P29" s="4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x14ac:dyDescent="0.25">
      <c r="A36" s="3"/>
      <c r="B36" s="30">
        <v>4535</v>
      </c>
      <c r="C36" s="30">
        <v>7365</v>
      </c>
      <c r="D36" s="30">
        <v>9856</v>
      </c>
      <c r="E36" s="30">
        <v>5421</v>
      </c>
      <c r="F36" s="30">
        <v>10931</v>
      </c>
      <c r="G36" s="30">
        <v>1383</v>
      </c>
      <c r="H36" s="30">
        <v>7045</v>
      </c>
      <c r="I36" s="30">
        <v>16397</v>
      </c>
      <c r="J36" s="30">
        <v>16666</v>
      </c>
      <c r="K36" s="30">
        <v>6410</v>
      </c>
      <c r="L36" s="30">
        <v>2050</v>
      </c>
      <c r="M36" s="30">
        <v>11648</v>
      </c>
      <c r="N36" s="30">
        <v>6149</v>
      </c>
      <c r="O36" s="30">
        <v>8781</v>
      </c>
      <c r="P36" s="30">
        <v>16128</v>
      </c>
      <c r="Q36" s="30">
        <v>3240</v>
      </c>
      <c r="R36" s="30">
        <v>2480</v>
      </c>
      <c r="S36" s="30">
        <v>15232</v>
      </c>
      <c r="T36" s="30">
        <v>12347</v>
      </c>
      <c r="U36" s="30">
        <v>3575</v>
      </c>
      <c r="V36" s="30">
        <v>15770</v>
      </c>
      <c r="W36" s="30">
        <v>15590</v>
      </c>
      <c r="X36" s="30">
        <v>13350</v>
      </c>
      <c r="Y36" s="30">
        <v>14605</v>
      </c>
      <c r="Z36" s="30">
        <v>4730</v>
      </c>
    </row>
    <row r="37" spans="1:26" ht="15.7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x14ac:dyDescent="0.25">
      <c r="A38" s="3"/>
      <c r="B38" s="31">
        <v>1008</v>
      </c>
      <c r="C38" s="31">
        <v>1458</v>
      </c>
      <c r="D38" s="31">
        <v>1683</v>
      </c>
      <c r="E38" s="31">
        <v>900</v>
      </c>
      <c r="F38" s="31">
        <v>1854</v>
      </c>
      <c r="G38" s="31">
        <v>859</v>
      </c>
      <c r="H38" s="31">
        <v>1494</v>
      </c>
      <c r="I38" s="31">
        <v>1512</v>
      </c>
      <c r="J38" s="31">
        <v>1710</v>
      </c>
      <c r="K38" s="31">
        <v>1170</v>
      </c>
      <c r="L38" s="31">
        <v>972</v>
      </c>
      <c r="M38" s="31">
        <v>1944</v>
      </c>
      <c r="N38" s="31">
        <v>1278</v>
      </c>
      <c r="O38" s="31">
        <v>1404</v>
      </c>
      <c r="P38" s="31">
        <v>1386</v>
      </c>
      <c r="Q38" s="31">
        <v>810</v>
      </c>
      <c r="R38" s="31">
        <v>792</v>
      </c>
      <c r="S38" s="31">
        <v>1728</v>
      </c>
      <c r="T38" s="31">
        <v>1566</v>
      </c>
      <c r="U38" s="31">
        <v>792</v>
      </c>
      <c r="V38" s="31">
        <v>1620</v>
      </c>
      <c r="W38" s="31">
        <v>1710</v>
      </c>
      <c r="X38" s="31">
        <v>1386</v>
      </c>
      <c r="Y38" s="31">
        <v>990</v>
      </c>
      <c r="Z38" s="31">
        <v>612</v>
      </c>
    </row>
    <row r="39" spans="1:26" ht="15.7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x14ac:dyDescent="0.25">
      <c r="A40" s="3"/>
      <c r="B40" s="32">
        <v>645</v>
      </c>
      <c r="C40" s="32">
        <v>479</v>
      </c>
      <c r="D40" s="32">
        <v>417</v>
      </c>
      <c r="E40" s="32">
        <v>579</v>
      </c>
      <c r="F40" s="32">
        <v>380</v>
      </c>
      <c r="G40" s="32">
        <v>670</v>
      </c>
      <c r="H40" s="32">
        <v>563</v>
      </c>
      <c r="I40" s="32">
        <v>468</v>
      </c>
      <c r="J40" s="32">
        <v>460</v>
      </c>
      <c r="K40" s="32">
        <v>576</v>
      </c>
      <c r="L40" s="32">
        <v>667</v>
      </c>
      <c r="M40" s="32">
        <v>379</v>
      </c>
      <c r="N40" s="32">
        <v>579</v>
      </c>
      <c r="O40" s="32">
        <v>480</v>
      </c>
      <c r="P40" s="32">
        <v>468</v>
      </c>
      <c r="Q40" s="32">
        <v>687</v>
      </c>
      <c r="R40" s="32">
        <v>680</v>
      </c>
      <c r="S40" s="32">
        <v>478</v>
      </c>
      <c r="T40" s="32">
        <v>389</v>
      </c>
      <c r="U40" s="32">
        <v>707</v>
      </c>
      <c r="V40" s="32">
        <v>466</v>
      </c>
      <c r="W40" s="32">
        <v>488</v>
      </c>
      <c r="X40" s="32">
        <v>414</v>
      </c>
      <c r="Y40" s="32">
        <v>445</v>
      </c>
      <c r="Z40" s="32">
        <v>765</v>
      </c>
    </row>
    <row r="41" spans="1:26" ht="15.7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x14ac:dyDescent="0.25">
      <c r="A42" s="3"/>
      <c r="B42" s="53">
        <v>193</v>
      </c>
      <c r="C42" s="53">
        <v>163</v>
      </c>
      <c r="D42" s="53">
        <v>165</v>
      </c>
      <c r="E42" s="53">
        <v>173</v>
      </c>
      <c r="F42" s="53">
        <v>146</v>
      </c>
      <c r="G42" s="53">
        <v>204</v>
      </c>
      <c r="H42" s="53">
        <v>168</v>
      </c>
      <c r="I42" s="53">
        <v>183</v>
      </c>
      <c r="J42" s="53">
        <v>183</v>
      </c>
      <c r="K42" s="53">
        <v>171</v>
      </c>
      <c r="L42" s="53">
        <v>204</v>
      </c>
      <c r="M42" s="53">
        <v>144</v>
      </c>
      <c r="N42" s="53">
        <v>161</v>
      </c>
      <c r="O42" s="53">
        <v>162</v>
      </c>
      <c r="P42" s="53">
        <v>177</v>
      </c>
      <c r="Q42" s="53">
        <v>194</v>
      </c>
      <c r="R42" s="53">
        <v>222</v>
      </c>
      <c r="S42" s="53">
        <v>176</v>
      </c>
      <c r="T42" s="53">
        <v>160</v>
      </c>
      <c r="U42" s="53">
        <v>203</v>
      </c>
      <c r="V42" s="53">
        <v>175</v>
      </c>
      <c r="W42" s="53">
        <v>185</v>
      </c>
      <c r="X42" s="53">
        <v>182</v>
      </c>
      <c r="Y42" s="53">
        <v>185</v>
      </c>
      <c r="Z42" s="53">
        <v>215</v>
      </c>
    </row>
    <row r="43" spans="1:26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x14ac:dyDescent="0.25">
      <c r="A44" s="3"/>
      <c r="B44" s="22">
        <v>71</v>
      </c>
      <c r="C44" s="22">
        <v>65</v>
      </c>
      <c r="D44" s="22">
        <v>72</v>
      </c>
      <c r="E44" s="22">
        <v>71</v>
      </c>
      <c r="F44" s="22">
        <v>71</v>
      </c>
      <c r="G44" s="22">
        <v>63</v>
      </c>
      <c r="H44" s="22">
        <v>58</v>
      </c>
      <c r="I44" s="22">
        <v>94</v>
      </c>
      <c r="J44" s="22">
        <v>95</v>
      </c>
      <c r="K44" s="22">
        <v>66</v>
      </c>
      <c r="L44" s="22">
        <v>60</v>
      </c>
      <c r="M44" s="22">
        <v>70</v>
      </c>
      <c r="N44" s="22">
        <v>72</v>
      </c>
      <c r="O44" s="22">
        <v>68</v>
      </c>
      <c r="P44" s="22">
        <v>87</v>
      </c>
      <c r="Q44" s="22">
        <v>77</v>
      </c>
      <c r="R44" s="22">
        <v>54</v>
      </c>
      <c r="S44" s="22">
        <v>93</v>
      </c>
      <c r="T44" s="22">
        <v>66</v>
      </c>
      <c r="U44" s="22">
        <v>91</v>
      </c>
      <c r="V44" s="22">
        <v>96</v>
      </c>
      <c r="W44" s="22">
        <v>90</v>
      </c>
      <c r="X44" s="22">
        <v>77</v>
      </c>
      <c r="Y44" s="22">
        <v>105</v>
      </c>
      <c r="Z44" s="22">
        <v>71</v>
      </c>
    </row>
    <row r="45" spans="1:26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</sheetData>
  <mergeCells count="5">
    <mergeCell ref="N1:P1"/>
    <mergeCell ref="E1:G1"/>
    <mergeCell ref="B1:D1"/>
    <mergeCell ref="H1:J1"/>
    <mergeCell ref="K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75"/>
  <sheetViews>
    <sheetView topLeftCell="J23" workbookViewId="0">
      <selection activeCell="W34" sqref="W34:Y75"/>
    </sheetView>
  </sheetViews>
  <sheetFormatPr defaultRowHeight="15" x14ac:dyDescent="0.25"/>
  <cols>
    <col min="1" max="2" width="9.140625" customWidth="1"/>
  </cols>
  <sheetData>
    <row r="1" spans="1:16" x14ac:dyDescent="0.25">
      <c r="A1" s="7" t="s">
        <v>2</v>
      </c>
      <c r="B1" s="75" t="s">
        <v>0</v>
      </c>
      <c r="C1" s="76"/>
      <c r="D1" s="77"/>
      <c r="E1" s="72" t="s">
        <v>3</v>
      </c>
      <c r="F1" s="73"/>
      <c r="G1" s="74"/>
      <c r="H1" s="78" t="s">
        <v>7</v>
      </c>
      <c r="I1" s="79"/>
      <c r="J1" s="80"/>
      <c r="K1" s="81" t="s">
        <v>8</v>
      </c>
      <c r="L1" s="82"/>
      <c r="M1" s="83"/>
      <c r="N1" s="69" t="s">
        <v>9</v>
      </c>
      <c r="O1" s="70"/>
      <c r="P1" s="71"/>
    </row>
    <row r="2" spans="1:16" ht="30" x14ac:dyDescent="0.25">
      <c r="A2" s="7"/>
      <c r="B2" s="27" t="s">
        <v>4</v>
      </c>
      <c r="C2" s="28" t="s">
        <v>5</v>
      </c>
      <c r="D2" s="28" t="s">
        <v>6</v>
      </c>
      <c r="E2" s="33" t="s">
        <v>11</v>
      </c>
      <c r="F2" s="33" t="s">
        <v>12</v>
      </c>
      <c r="G2" s="33" t="s">
        <v>13</v>
      </c>
      <c r="H2" s="34" t="s">
        <v>14</v>
      </c>
      <c r="I2" s="48" t="s">
        <v>20</v>
      </c>
      <c r="J2" s="34" t="s">
        <v>15</v>
      </c>
      <c r="K2" s="35" t="s">
        <v>16</v>
      </c>
      <c r="L2" s="49" t="s">
        <v>21</v>
      </c>
      <c r="M2" s="35" t="s">
        <v>17</v>
      </c>
      <c r="N2" s="36" t="s">
        <v>18</v>
      </c>
      <c r="O2" s="50" t="s">
        <v>22</v>
      </c>
      <c r="P2" s="37" t="s">
        <v>19</v>
      </c>
    </row>
    <row r="3" spans="1:16" ht="30" x14ac:dyDescent="0.25">
      <c r="A3" s="8">
        <v>2012</v>
      </c>
      <c r="B3" s="23">
        <v>3240</v>
      </c>
      <c r="C3" s="4" t="s">
        <v>1</v>
      </c>
      <c r="D3" s="11">
        <v>0.30649999999999999</v>
      </c>
      <c r="E3" s="6">
        <v>810</v>
      </c>
      <c r="F3" s="6" t="s">
        <v>1</v>
      </c>
      <c r="G3" s="12">
        <v>2.2700000000000001E-2</v>
      </c>
      <c r="H3" s="13">
        <v>687</v>
      </c>
      <c r="I3" s="13" t="s">
        <v>1</v>
      </c>
      <c r="J3" s="14">
        <v>1.03E-2</v>
      </c>
      <c r="K3" s="16">
        <v>194</v>
      </c>
      <c r="L3" s="16" t="s">
        <v>1</v>
      </c>
      <c r="M3" s="17">
        <v>-0.12609999999999999</v>
      </c>
      <c r="N3" s="9">
        <v>77</v>
      </c>
      <c r="O3" s="9" t="s">
        <v>1</v>
      </c>
      <c r="P3" s="25">
        <v>0.4259</v>
      </c>
    </row>
    <row r="4" spans="1:16" ht="30" x14ac:dyDescent="0.25">
      <c r="A4" s="8">
        <v>2013</v>
      </c>
      <c r="B4" s="23">
        <v>2480</v>
      </c>
      <c r="C4" s="4" t="s">
        <v>1</v>
      </c>
      <c r="D4" s="11">
        <v>0.20979999999999999</v>
      </c>
      <c r="E4" s="6">
        <v>792</v>
      </c>
      <c r="F4" s="6" t="s">
        <v>1</v>
      </c>
      <c r="G4" s="12">
        <v>-0.1852</v>
      </c>
      <c r="H4" s="13">
        <v>680</v>
      </c>
      <c r="I4" s="13" t="s">
        <v>1</v>
      </c>
      <c r="J4" s="14">
        <v>1.95E-2</v>
      </c>
      <c r="K4" s="16">
        <v>222</v>
      </c>
      <c r="L4" s="16" t="s">
        <v>1</v>
      </c>
      <c r="M4" s="17">
        <v>8.8200000000000001E-2</v>
      </c>
      <c r="N4" s="9">
        <v>54</v>
      </c>
      <c r="O4" s="9" t="s">
        <v>1</v>
      </c>
      <c r="P4" s="25">
        <v>-0.1</v>
      </c>
    </row>
    <row r="5" spans="1:16" ht="30" x14ac:dyDescent="0.25">
      <c r="A5" s="8">
        <v>2014</v>
      </c>
      <c r="B5" s="23">
        <v>15232</v>
      </c>
      <c r="C5" s="4" t="s">
        <v>1</v>
      </c>
      <c r="D5" s="11">
        <v>-5.5599999999999997E-2</v>
      </c>
      <c r="E5" s="6">
        <v>1728</v>
      </c>
      <c r="F5" s="6" t="s">
        <v>1</v>
      </c>
      <c r="G5" s="12">
        <v>0.24679999999999999</v>
      </c>
      <c r="H5" s="13">
        <v>478</v>
      </c>
      <c r="I5" s="13" t="s">
        <v>1</v>
      </c>
      <c r="J5" s="14">
        <v>2.1399999999999999E-2</v>
      </c>
      <c r="K5" s="16">
        <v>176</v>
      </c>
      <c r="L5" s="16" t="s">
        <v>1</v>
      </c>
      <c r="M5" s="17">
        <v>-5.5999999999999999E-3</v>
      </c>
      <c r="N5" s="9">
        <v>93</v>
      </c>
      <c r="O5" s="9" t="s">
        <v>1</v>
      </c>
      <c r="P5" s="25">
        <v>6.9000000000000006E-2</v>
      </c>
    </row>
    <row r="6" spans="1:16" ht="30" x14ac:dyDescent="0.25">
      <c r="A6" s="8">
        <v>2015</v>
      </c>
      <c r="B6" s="23">
        <v>12347</v>
      </c>
      <c r="C6" s="4" t="s">
        <v>1</v>
      </c>
      <c r="D6" s="11">
        <v>0.06</v>
      </c>
      <c r="E6" s="6">
        <v>1566</v>
      </c>
      <c r="F6" s="6" t="s">
        <v>1</v>
      </c>
      <c r="G6" s="12">
        <v>-0.19439999999999999</v>
      </c>
      <c r="H6" s="13">
        <v>389</v>
      </c>
      <c r="I6" s="13" t="s">
        <v>1</v>
      </c>
      <c r="J6" s="14">
        <v>2.64E-2</v>
      </c>
      <c r="K6" s="16">
        <v>160</v>
      </c>
      <c r="L6" s="16" t="s">
        <v>1</v>
      </c>
      <c r="M6" s="17">
        <v>0.1111</v>
      </c>
      <c r="N6" s="9">
        <v>66</v>
      </c>
      <c r="O6" s="9" t="s">
        <v>1</v>
      </c>
      <c r="P6" s="25">
        <v>-5.7099999999999998E-2</v>
      </c>
    </row>
    <row r="7" spans="1:16" ht="30" x14ac:dyDescent="0.25">
      <c r="A7" s="8">
        <v>2016</v>
      </c>
      <c r="B7" s="23">
        <v>3575</v>
      </c>
      <c r="C7" s="4" t="s">
        <v>1</v>
      </c>
      <c r="D7" s="11">
        <v>0.10340000000000001</v>
      </c>
      <c r="E7" s="6">
        <v>792</v>
      </c>
      <c r="F7" s="6" t="s">
        <v>1</v>
      </c>
      <c r="G7" s="12">
        <v>-2.2200000000000001E-2</v>
      </c>
      <c r="H7" s="13">
        <v>707</v>
      </c>
      <c r="I7" s="13" t="s">
        <v>1</v>
      </c>
      <c r="J7" s="14">
        <v>2.9100000000000001E-2</v>
      </c>
      <c r="K7" s="16">
        <v>203</v>
      </c>
      <c r="L7" s="16" t="s">
        <v>1</v>
      </c>
      <c r="M7" s="17">
        <v>4.6399999999999997E-2</v>
      </c>
      <c r="N7" s="9">
        <v>91</v>
      </c>
      <c r="O7" s="9" t="s">
        <v>1</v>
      </c>
      <c r="P7" s="25">
        <v>0.18179999999999999</v>
      </c>
    </row>
    <row r="8" spans="1:16" ht="30" x14ac:dyDescent="0.25">
      <c r="A8" s="8">
        <v>2017</v>
      </c>
      <c r="B8" s="23">
        <v>15770</v>
      </c>
      <c r="C8" s="4" t="s">
        <v>1</v>
      </c>
      <c r="D8" s="11">
        <v>7.9799999999999996E-2</v>
      </c>
      <c r="E8" s="6">
        <v>1620</v>
      </c>
      <c r="F8" s="6" t="s">
        <v>1</v>
      </c>
      <c r="G8" s="12">
        <v>0.63639999999999997</v>
      </c>
      <c r="H8" s="13">
        <v>466</v>
      </c>
      <c r="I8" s="13" t="s">
        <v>1</v>
      </c>
      <c r="J8" s="14">
        <v>4.7199999999999999E-2</v>
      </c>
      <c r="K8" s="16">
        <v>175</v>
      </c>
      <c r="L8" s="16" t="s">
        <v>1</v>
      </c>
      <c r="M8" s="17">
        <v>-5.4100000000000002E-2</v>
      </c>
      <c r="N8" s="9">
        <v>96</v>
      </c>
      <c r="O8" s="9" t="s">
        <v>1</v>
      </c>
      <c r="P8" s="25">
        <v>-8.5699999999999998E-2</v>
      </c>
    </row>
    <row r="9" spans="1:16" ht="30" x14ac:dyDescent="0.25">
      <c r="A9" s="8">
        <v>2018</v>
      </c>
      <c r="B9" s="23">
        <v>15590</v>
      </c>
      <c r="C9" s="4" t="s">
        <v>1</v>
      </c>
      <c r="D9" s="11">
        <v>-6.4600000000000005E-2</v>
      </c>
      <c r="E9" s="6">
        <v>1710</v>
      </c>
      <c r="F9" s="6" t="s">
        <v>1</v>
      </c>
      <c r="G9" s="12">
        <v>0</v>
      </c>
      <c r="H9" s="13">
        <v>488</v>
      </c>
      <c r="I9" s="13" t="s">
        <v>1</v>
      </c>
      <c r="J9" s="14">
        <v>6.0900000000000003E-2</v>
      </c>
      <c r="K9" s="16">
        <v>185</v>
      </c>
      <c r="L9" s="16" t="s">
        <v>1</v>
      </c>
      <c r="M9" s="17">
        <v>1.09E-2</v>
      </c>
      <c r="N9" s="9">
        <v>90</v>
      </c>
      <c r="O9" s="9" t="s">
        <v>1</v>
      </c>
      <c r="P9" s="25">
        <v>-5.2600000000000001E-2</v>
      </c>
    </row>
    <row r="10" spans="1:16" ht="30" x14ac:dyDescent="0.25">
      <c r="A10" s="8">
        <v>2019</v>
      </c>
      <c r="B10" s="23">
        <v>13350</v>
      </c>
      <c r="C10" s="4" t="s">
        <v>1</v>
      </c>
      <c r="D10" s="11">
        <v>8.1199999999999994E-2</v>
      </c>
      <c r="E10" s="6">
        <v>1386</v>
      </c>
      <c r="F10" s="6" t="s">
        <v>1</v>
      </c>
      <c r="G10" s="12">
        <v>-0.1149</v>
      </c>
      <c r="H10" s="13">
        <v>414</v>
      </c>
      <c r="I10" s="13" t="s">
        <v>1</v>
      </c>
      <c r="J10" s="14">
        <v>6.4299999999999996E-2</v>
      </c>
      <c r="K10" s="16">
        <v>182</v>
      </c>
      <c r="L10" s="16" t="s">
        <v>1</v>
      </c>
      <c r="M10" s="17">
        <v>0.13750000000000001</v>
      </c>
      <c r="N10" s="9">
        <v>77</v>
      </c>
      <c r="O10" s="9" t="s">
        <v>1</v>
      </c>
      <c r="P10" s="25">
        <v>0.16669999999999999</v>
      </c>
    </row>
    <row r="11" spans="1:16" ht="30" x14ac:dyDescent="0.25">
      <c r="A11" s="8">
        <v>2020</v>
      </c>
      <c r="B11" s="23">
        <v>14605</v>
      </c>
      <c r="C11" s="4" t="s">
        <v>1</v>
      </c>
      <c r="D11" s="11">
        <v>9.4E-2</v>
      </c>
      <c r="E11" s="6">
        <v>990</v>
      </c>
      <c r="F11" s="6" t="s">
        <v>1</v>
      </c>
      <c r="G11" s="12">
        <v>-0.28570000000000001</v>
      </c>
      <c r="H11" s="13">
        <v>445</v>
      </c>
      <c r="I11" s="13" t="s">
        <v>1</v>
      </c>
      <c r="J11" s="14">
        <v>7.4899999999999994E-2</v>
      </c>
      <c r="K11" s="16">
        <v>185</v>
      </c>
      <c r="L11" s="16" t="s">
        <v>1</v>
      </c>
      <c r="M11" s="17">
        <v>1.6500000000000001E-2</v>
      </c>
      <c r="N11" s="9">
        <v>105</v>
      </c>
      <c r="O11" s="9" t="s">
        <v>1</v>
      </c>
      <c r="P11" s="25">
        <v>0.36359999999999998</v>
      </c>
    </row>
    <row r="12" spans="1:16" ht="30" x14ac:dyDescent="0.25">
      <c r="A12" s="8">
        <v>2021</v>
      </c>
      <c r="B12" s="23">
        <v>4730</v>
      </c>
      <c r="C12" s="4" t="s">
        <v>1</v>
      </c>
      <c r="D12" s="11">
        <v>0.3231</v>
      </c>
      <c r="E12" s="6">
        <v>612</v>
      </c>
      <c r="F12" s="6" t="s">
        <v>1</v>
      </c>
      <c r="G12" s="12">
        <v>-0.2273</v>
      </c>
      <c r="H12" s="13">
        <v>765</v>
      </c>
      <c r="I12" s="13" t="s">
        <v>1</v>
      </c>
      <c r="J12" s="14">
        <v>8.2000000000000003E-2</v>
      </c>
      <c r="K12" s="16">
        <v>215</v>
      </c>
      <c r="L12" s="16" t="s">
        <v>1</v>
      </c>
      <c r="M12" s="17">
        <v>5.91E-2</v>
      </c>
      <c r="N12" s="9">
        <v>71</v>
      </c>
      <c r="O12" s="9" t="s">
        <v>1</v>
      </c>
      <c r="P12" s="25">
        <v>-0.2198</v>
      </c>
    </row>
    <row r="13" spans="1:16" x14ac:dyDescent="0.25">
      <c r="A13" s="22" t="s">
        <v>10</v>
      </c>
      <c r="B13" s="24">
        <f>SUM(B3:B12)</f>
        <v>100919</v>
      </c>
      <c r="C13" s="5"/>
      <c r="D13" s="5"/>
      <c r="E13" s="18">
        <f>SUM(E3:E12)</f>
        <v>12006</v>
      </c>
      <c r="F13" s="6"/>
      <c r="G13" s="12"/>
      <c r="H13" s="19">
        <f>SUM(H3:H12)</f>
        <v>5519</v>
      </c>
      <c r="I13" s="15"/>
      <c r="J13" s="15"/>
      <c r="K13" s="20">
        <f>SUM(K3:K12)</f>
        <v>1897</v>
      </c>
      <c r="L13" s="16"/>
      <c r="M13" s="16"/>
      <c r="N13" s="21">
        <f>SUM(N3:N12)</f>
        <v>820</v>
      </c>
      <c r="O13" s="9"/>
      <c r="P13" s="26"/>
    </row>
    <row r="14" spans="1:16" x14ac:dyDescent="0.25">
      <c r="A14" s="10"/>
      <c r="B14" s="51" t="s">
        <v>0</v>
      </c>
      <c r="C14" s="51"/>
      <c r="D14" s="52"/>
      <c r="E14" s="38" t="s">
        <v>3</v>
      </c>
      <c r="F14" s="39"/>
      <c r="G14" s="40"/>
      <c r="H14" s="41" t="s">
        <v>7</v>
      </c>
      <c r="I14" s="42"/>
      <c r="J14" s="43"/>
      <c r="K14" s="44" t="s">
        <v>8</v>
      </c>
      <c r="L14" s="45"/>
      <c r="M14" s="46"/>
      <c r="N14" s="29" t="s">
        <v>9</v>
      </c>
      <c r="O14" s="47"/>
      <c r="P14" s="47"/>
    </row>
    <row r="17" spans="1:49" x14ac:dyDescent="0.25">
      <c r="B17" s="30">
        <v>3240</v>
      </c>
      <c r="C17" s="30">
        <v>2480</v>
      </c>
      <c r="D17" s="30">
        <v>15232</v>
      </c>
      <c r="E17" s="30">
        <v>12347</v>
      </c>
      <c r="F17" s="30">
        <v>3575</v>
      </c>
      <c r="G17" s="30">
        <v>15770</v>
      </c>
      <c r="H17" s="30">
        <v>15590</v>
      </c>
      <c r="I17" s="30">
        <v>13350</v>
      </c>
      <c r="J17" s="30">
        <v>14605</v>
      </c>
      <c r="K17" s="30">
        <v>4730</v>
      </c>
    </row>
    <row r="21" spans="1:49" x14ac:dyDescent="0.25">
      <c r="A21">
        <v>1</v>
      </c>
      <c r="B21" s="54">
        <v>1980</v>
      </c>
      <c r="C21" s="54">
        <v>183</v>
      </c>
      <c r="D21" s="54" t="s">
        <v>1</v>
      </c>
      <c r="E21" s="56">
        <v>2.81E-2</v>
      </c>
      <c r="G21" s="54">
        <v>183</v>
      </c>
      <c r="H21" s="54">
        <v>216</v>
      </c>
      <c r="I21" s="54">
        <v>193</v>
      </c>
      <c r="J21" s="54">
        <v>199</v>
      </c>
      <c r="K21" s="54">
        <v>235</v>
      </c>
      <c r="L21" s="54">
        <v>375</v>
      </c>
      <c r="M21" s="54">
        <v>546</v>
      </c>
      <c r="N21" s="54">
        <v>710</v>
      </c>
      <c r="O21" s="54">
        <v>656</v>
      </c>
      <c r="P21" s="54">
        <v>554</v>
      </c>
      <c r="Q21" s="54">
        <v>599</v>
      </c>
      <c r="R21" s="54">
        <v>520</v>
      </c>
      <c r="S21" s="54">
        <v>673</v>
      </c>
      <c r="T21" s="54">
        <v>1141</v>
      </c>
      <c r="U21" s="54">
        <v>1289</v>
      </c>
      <c r="V21" s="54">
        <v>1150</v>
      </c>
      <c r="W21" s="54">
        <v>1203</v>
      </c>
      <c r="X21" s="54">
        <v>1383</v>
      </c>
      <c r="Y21" s="54">
        <v>2050</v>
      </c>
      <c r="Z21" s="54">
        <v>2480</v>
      </c>
      <c r="AA21" s="54">
        <v>3240</v>
      </c>
      <c r="AB21" s="54">
        <v>3575</v>
      </c>
      <c r="AC21" s="54">
        <v>4730</v>
      </c>
      <c r="AD21" s="54">
        <v>4535</v>
      </c>
      <c r="AE21" s="54">
        <v>5421</v>
      </c>
      <c r="AF21" s="54">
        <v>6149</v>
      </c>
      <c r="AG21" s="54">
        <v>6410</v>
      </c>
      <c r="AH21" s="54">
        <v>7045</v>
      </c>
      <c r="AI21" s="54">
        <v>7365</v>
      </c>
      <c r="AJ21" s="54">
        <v>8781</v>
      </c>
      <c r="AK21" s="54">
        <v>9856</v>
      </c>
      <c r="AL21" s="54">
        <v>10931</v>
      </c>
      <c r="AM21" s="54">
        <v>11648</v>
      </c>
      <c r="AN21" s="54">
        <v>12347</v>
      </c>
      <c r="AO21" s="54">
        <v>13350</v>
      </c>
      <c r="AP21" s="54">
        <v>14605</v>
      </c>
      <c r="AQ21" s="54">
        <v>15770</v>
      </c>
      <c r="AR21" s="54">
        <v>16128</v>
      </c>
      <c r="AS21" s="54">
        <v>15232</v>
      </c>
      <c r="AT21" s="54">
        <v>16397</v>
      </c>
      <c r="AU21" s="54">
        <v>16666</v>
      </c>
      <c r="AV21" s="54">
        <v>15590</v>
      </c>
      <c r="AW21" s="54">
        <v>17203</v>
      </c>
    </row>
    <row r="22" spans="1:49" x14ac:dyDescent="0.25">
      <c r="A22">
        <v>2</v>
      </c>
      <c r="B22" s="54">
        <v>1981</v>
      </c>
      <c r="C22" s="54">
        <v>216</v>
      </c>
      <c r="D22" s="54" t="s">
        <v>1</v>
      </c>
      <c r="E22" s="56">
        <v>0.18029999999999999</v>
      </c>
    </row>
    <row r="23" spans="1:49" x14ac:dyDescent="0.25">
      <c r="A23">
        <v>3</v>
      </c>
      <c r="B23" s="54">
        <v>1982</v>
      </c>
      <c r="C23" s="54">
        <v>193</v>
      </c>
      <c r="D23" s="54" t="s">
        <v>1</v>
      </c>
      <c r="E23" s="56">
        <v>-0.1065</v>
      </c>
    </row>
    <row r="24" spans="1:49" x14ac:dyDescent="0.25">
      <c r="A24">
        <v>4</v>
      </c>
      <c r="B24" s="54">
        <v>1983</v>
      </c>
      <c r="C24" s="54">
        <v>199</v>
      </c>
      <c r="D24" s="54" t="s">
        <v>1</v>
      </c>
      <c r="E24" s="56">
        <v>3.1099999999999999E-2</v>
      </c>
      <c r="G24" s="54">
        <v>1980</v>
      </c>
      <c r="H24" s="54">
        <v>69</v>
      </c>
      <c r="I24" s="54" t="s">
        <v>1</v>
      </c>
      <c r="J24" s="56">
        <v>0.2545</v>
      </c>
    </row>
    <row r="25" spans="1:49" x14ac:dyDescent="0.25">
      <c r="A25">
        <v>5</v>
      </c>
      <c r="B25" s="54">
        <v>1984</v>
      </c>
      <c r="C25" s="54">
        <v>235</v>
      </c>
      <c r="D25" s="54" t="s">
        <v>1</v>
      </c>
      <c r="E25" s="56">
        <v>0.18090000000000001</v>
      </c>
      <c r="G25" s="54">
        <v>1981</v>
      </c>
      <c r="H25" s="54">
        <v>73</v>
      </c>
      <c r="I25" s="54" t="s">
        <v>1</v>
      </c>
      <c r="J25" s="56">
        <v>5.8000000000000003E-2</v>
      </c>
    </row>
    <row r="26" spans="1:49" x14ac:dyDescent="0.25">
      <c r="A26">
        <v>6</v>
      </c>
      <c r="B26" s="54">
        <v>1985</v>
      </c>
      <c r="C26" s="54">
        <v>375</v>
      </c>
      <c r="D26" s="54" t="s">
        <v>1</v>
      </c>
      <c r="E26" s="56">
        <v>0.59570000000000001</v>
      </c>
      <c r="G26" s="54">
        <v>1982</v>
      </c>
      <c r="H26" s="54">
        <v>76</v>
      </c>
      <c r="I26" s="54" t="s">
        <v>1</v>
      </c>
      <c r="J26" s="56">
        <v>4.1099999999999998E-2</v>
      </c>
    </row>
    <row r="27" spans="1:49" x14ac:dyDescent="0.25">
      <c r="A27">
        <v>7</v>
      </c>
      <c r="B27" s="54">
        <v>1986</v>
      </c>
      <c r="C27" s="54">
        <v>546</v>
      </c>
      <c r="D27" s="54" t="s">
        <v>1</v>
      </c>
      <c r="E27" s="56">
        <v>0.45600000000000002</v>
      </c>
      <c r="G27" s="54">
        <v>1983</v>
      </c>
      <c r="H27" s="54">
        <v>95</v>
      </c>
      <c r="I27" s="54" t="s">
        <v>1</v>
      </c>
      <c r="J27" s="56">
        <v>0.25</v>
      </c>
      <c r="L27">
        <v>1980</v>
      </c>
      <c r="M27">
        <v>626</v>
      </c>
      <c r="N27" t="s">
        <v>1</v>
      </c>
      <c r="O27" s="55">
        <v>1.6000000000000001E-3</v>
      </c>
    </row>
    <row r="28" spans="1:49" x14ac:dyDescent="0.25">
      <c r="A28">
        <v>8</v>
      </c>
      <c r="B28" s="54">
        <v>1987</v>
      </c>
      <c r="C28" s="54">
        <v>710</v>
      </c>
      <c r="D28" s="54" t="s">
        <v>1</v>
      </c>
      <c r="E28" s="56">
        <v>0.3004</v>
      </c>
      <c r="G28" s="54">
        <v>1984</v>
      </c>
      <c r="H28" s="54">
        <v>149</v>
      </c>
      <c r="I28" s="54" t="s">
        <v>1</v>
      </c>
      <c r="J28" s="56">
        <v>0.56840000000000002</v>
      </c>
      <c r="L28">
        <v>1981</v>
      </c>
      <c r="M28">
        <v>633</v>
      </c>
      <c r="N28" t="s">
        <v>1</v>
      </c>
      <c r="O28" s="55">
        <v>1.12E-2</v>
      </c>
    </row>
    <row r="29" spans="1:49" x14ac:dyDescent="0.25">
      <c r="A29">
        <v>9</v>
      </c>
      <c r="B29" s="54">
        <v>1988</v>
      </c>
      <c r="C29" s="54">
        <v>656</v>
      </c>
      <c r="D29" s="54" t="s">
        <v>1</v>
      </c>
      <c r="E29" s="56">
        <v>-7.6100000000000001E-2</v>
      </c>
      <c r="G29" s="54">
        <v>1985</v>
      </c>
      <c r="H29" s="54">
        <v>160</v>
      </c>
      <c r="I29" s="54" t="s">
        <v>1</v>
      </c>
      <c r="J29" s="56">
        <v>7.3800000000000004E-2</v>
      </c>
      <c r="L29">
        <v>1982</v>
      </c>
      <c r="M29">
        <v>681</v>
      </c>
      <c r="N29" t="s">
        <v>1</v>
      </c>
      <c r="O29" s="55">
        <v>7.5800000000000006E-2</v>
      </c>
    </row>
    <row r="30" spans="1:49" x14ac:dyDescent="0.25">
      <c r="A30">
        <v>10</v>
      </c>
      <c r="B30" s="54">
        <v>1989</v>
      </c>
      <c r="C30" s="54">
        <v>554</v>
      </c>
      <c r="D30" s="54" t="s">
        <v>1</v>
      </c>
      <c r="E30" s="56">
        <v>-0.1555</v>
      </c>
      <c r="G30" s="54">
        <v>1986</v>
      </c>
      <c r="H30" s="54">
        <v>142</v>
      </c>
      <c r="I30" s="54" t="s">
        <v>1</v>
      </c>
      <c r="J30" s="56">
        <v>-0.1125</v>
      </c>
      <c r="L30">
        <v>1983</v>
      </c>
      <c r="M30">
        <v>701</v>
      </c>
      <c r="N30" t="s">
        <v>1</v>
      </c>
      <c r="O30" s="55">
        <v>2.9399999999999999E-2</v>
      </c>
    </row>
    <row r="31" spans="1:49" x14ac:dyDescent="0.25">
      <c r="A31">
        <v>11</v>
      </c>
      <c r="B31" s="54">
        <v>1990</v>
      </c>
      <c r="C31" s="54">
        <v>599</v>
      </c>
      <c r="D31" s="54" t="s">
        <v>1</v>
      </c>
      <c r="E31" s="56">
        <v>8.1199999999999994E-2</v>
      </c>
      <c r="G31" s="54">
        <v>1987</v>
      </c>
      <c r="H31" s="54">
        <v>132</v>
      </c>
      <c r="I31" s="54" t="s">
        <v>1</v>
      </c>
      <c r="J31" s="56">
        <v>-7.0400000000000004E-2</v>
      </c>
      <c r="L31">
        <v>1984</v>
      </c>
      <c r="M31">
        <v>689</v>
      </c>
      <c r="N31" t="s">
        <v>1</v>
      </c>
      <c r="O31" s="55">
        <v>-1.7100000000000001E-2</v>
      </c>
      <c r="Q31">
        <v>1980</v>
      </c>
      <c r="R31">
        <v>66</v>
      </c>
      <c r="S31" t="s">
        <v>1</v>
      </c>
      <c r="T31" s="55">
        <v>0.32</v>
      </c>
    </row>
    <row r="32" spans="1:49" x14ac:dyDescent="0.25">
      <c r="A32">
        <v>12</v>
      </c>
      <c r="B32" s="54">
        <v>1991</v>
      </c>
      <c r="C32" s="54">
        <v>520</v>
      </c>
      <c r="D32" s="54" t="s">
        <v>1</v>
      </c>
      <c r="E32" s="56">
        <v>-0.13189999999999999</v>
      </c>
      <c r="G32" s="54">
        <v>1988</v>
      </c>
      <c r="H32" s="54">
        <v>247</v>
      </c>
      <c r="I32" s="54" t="s">
        <v>1</v>
      </c>
      <c r="J32" s="56">
        <v>0.87119999999999997</v>
      </c>
      <c r="L32">
        <v>1985</v>
      </c>
      <c r="M32">
        <v>710</v>
      </c>
      <c r="N32" t="s">
        <v>1</v>
      </c>
      <c r="O32" s="55">
        <v>3.0499999999999999E-2</v>
      </c>
      <c r="Q32">
        <v>1981</v>
      </c>
      <c r="R32">
        <v>74</v>
      </c>
      <c r="S32" t="s">
        <v>1</v>
      </c>
      <c r="T32" s="55">
        <v>0.1212</v>
      </c>
    </row>
    <row r="33" spans="1:25" x14ac:dyDescent="0.25">
      <c r="A33">
        <v>13</v>
      </c>
      <c r="B33" s="54">
        <v>1992</v>
      </c>
      <c r="C33" s="54">
        <v>673</v>
      </c>
      <c r="D33" s="54" t="s">
        <v>1</v>
      </c>
      <c r="E33" s="56">
        <v>0.29420000000000002</v>
      </c>
      <c r="G33" s="54">
        <v>1989</v>
      </c>
      <c r="H33" s="54">
        <v>290</v>
      </c>
      <c r="I33" s="54" t="s">
        <v>1</v>
      </c>
      <c r="J33" s="56">
        <v>0.1741</v>
      </c>
      <c r="L33">
        <v>1986</v>
      </c>
      <c r="M33">
        <v>709</v>
      </c>
      <c r="N33" t="s">
        <v>1</v>
      </c>
      <c r="O33" s="55">
        <v>-1.4E-3</v>
      </c>
      <c r="Q33">
        <v>1982</v>
      </c>
      <c r="R33">
        <v>96</v>
      </c>
      <c r="S33" t="s">
        <v>1</v>
      </c>
      <c r="T33" s="55">
        <v>0.29730000000000001</v>
      </c>
    </row>
    <row r="34" spans="1:25" x14ac:dyDescent="0.25">
      <c r="A34">
        <v>14</v>
      </c>
      <c r="B34" s="54">
        <v>1993</v>
      </c>
      <c r="C34" s="54">
        <v>1141</v>
      </c>
      <c r="D34" s="54" t="s">
        <v>1</v>
      </c>
      <c r="E34" s="56">
        <v>0.69540000000000002</v>
      </c>
      <c r="G34" s="54">
        <v>1990</v>
      </c>
      <c r="H34" s="54">
        <v>425</v>
      </c>
      <c r="I34" s="54" t="s">
        <v>1</v>
      </c>
      <c r="J34" s="56">
        <v>0.46550000000000002</v>
      </c>
      <c r="L34">
        <v>1987</v>
      </c>
      <c r="M34">
        <v>698</v>
      </c>
      <c r="N34" t="s">
        <v>1</v>
      </c>
      <c r="O34" s="55">
        <v>-1.55E-2</v>
      </c>
      <c r="Q34">
        <v>1983</v>
      </c>
      <c r="R34">
        <v>98</v>
      </c>
      <c r="S34" t="s">
        <v>1</v>
      </c>
      <c r="T34" s="55">
        <v>2.0799999999999999E-2</v>
      </c>
      <c r="V34">
        <v>1980</v>
      </c>
      <c r="W34">
        <v>25</v>
      </c>
      <c r="X34" t="s">
        <v>1</v>
      </c>
      <c r="Y34" s="55">
        <v>2.5714000000000001</v>
      </c>
    </row>
    <row r="35" spans="1:25" x14ac:dyDescent="0.25">
      <c r="A35">
        <v>15</v>
      </c>
      <c r="B35" s="54">
        <v>1994</v>
      </c>
      <c r="C35" s="54">
        <v>1289</v>
      </c>
      <c r="D35" s="54" t="s">
        <v>1</v>
      </c>
      <c r="E35" s="56">
        <v>0.12970000000000001</v>
      </c>
      <c r="G35" s="54">
        <v>1991</v>
      </c>
      <c r="H35" s="54">
        <v>400</v>
      </c>
      <c r="I35" s="54" t="s">
        <v>1</v>
      </c>
      <c r="J35" s="56">
        <v>-5.8799999999999998E-2</v>
      </c>
      <c r="L35">
        <v>1988</v>
      </c>
      <c r="M35">
        <v>642</v>
      </c>
      <c r="N35" t="s">
        <v>1</v>
      </c>
      <c r="O35" s="55">
        <v>-8.0199999999999994E-2</v>
      </c>
      <c r="Q35">
        <v>1984</v>
      </c>
      <c r="R35">
        <v>127</v>
      </c>
      <c r="S35" t="s">
        <v>1</v>
      </c>
      <c r="T35" s="55">
        <v>0.2959</v>
      </c>
      <c r="V35">
        <v>1981</v>
      </c>
      <c r="W35">
        <v>29</v>
      </c>
      <c r="X35" t="s">
        <v>1</v>
      </c>
      <c r="Y35" s="55">
        <v>0.16</v>
      </c>
    </row>
    <row r="36" spans="1:25" x14ac:dyDescent="0.25">
      <c r="A36">
        <v>16</v>
      </c>
      <c r="B36" s="54">
        <v>1995</v>
      </c>
      <c r="C36" s="54">
        <v>1150</v>
      </c>
      <c r="D36" s="54" t="s">
        <v>1</v>
      </c>
      <c r="E36" s="56">
        <v>-0.10780000000000001</v>
      </c>
      <c r="G36" s="54">
        <v>1992</v>
      </c>
      <c r="H36" s="54">
        <v>500</v>
      </c>
      <c r="I36" s="54" t="s">
        <v>1</v>
      </c>
      <c r="J36" s="56">
        <v>0.25</v>
      </c>
      <c r="L36">
        <v>1989</v>
      </c>
      <c r="M36">
        <v>679</v>
      </c>
      <c r="N36" t="s">
        <v>1</v>
      </c>
      <c r="O36" s="55">
        <v>5.7599999999999998E-2</v>
      </c>
      <c r="Q36">
        <v>1985</v>
      </c>
      <c r="R36">
        <v>146</v>
      </c>
      <c r="S36" t="s">
        <v>1</v>
      </c>
      <c r="T36" s="55">
        <v>0.14960000000000001</v>
      </c>
      <c r="V36">
        <v>1982</v>
      </c>
      <c r="W36">
        <v>29</v>
      </c>
      <c r="X36" t="s">
        <v>1</v>
      </c>
      <c r="Y36" s="55">
        <v>0</v>
      </c>
    </row>
    <row r="37" spans="1:25" x14ac:dyDescent="0.25">
      <c r="A37">
        <v>17</v>
      </c>
      <c r="B37" s="54">
        <v>1996</v>
      </c>
      <c r="C37" s="54">
        <v>1203</v>
      </c>
      <c r="D37" s="54" t="s">
        <v>1</v>
      </c>
      <c r="E37" s="56">
        <v>4.6100000000000002E-2</v>
      </c>
      <c r="G37" s="54">
        <v>1993</v>
      </c>
      <c r="H37" s="54">
        <v>650</v>
      </c>
      <c r="I37" s="54" t="s">
        <v>1</v>
      </c>
      <c r="J37" s="56">
        <v>0.3</v>
      </c>
      <c r="L37">
        <v>1990</v>
      </c>
      <c r="M37">
        <v>619</v>
      </c>
      <c r="N37" t="s">
        <v>1</v>
      </c>
      <c r="O37" s="55">
        <v>-8.8400000000000006E-2</v>
      </c>
      <c r="Q37">
        <v>1986</v>
      </c>
      <c r="R37">
        <v>152</v>
      </c>
      <c r="S37" t="s">
        <v>1</v>
      </c>
      <c r="T37" s="55">
        <v>4.1099999999999998E-2</v>
      </c>
      <c r="V37">
        <v>1983</v>
      </c>
      <c r="W37">
        <v>19</v>
      </c>
      <c r="X37" t="s">
        <v>1</v>
      </c>
      <c r="Y37" s="55">
        <v>-0.3448</v>
      </c>
    </row>
    <row r="38" spans="1:25" x14ac:dyDescent="0.25">
      <c r="A38">
        <v>18</v>
      </c>
      <c r="B38" s="54">
        <v>1997</v>
      </c>
      <c r="C38" s="54">
        <v>1383</v>
      </c>
      <c r="D38" s="54" t="s">
        <v>1</v>
      </c>
      <c r="E38" s="56">
        <v>0.14960000000000001</v>
      </c>
      <c r="G38" s="54">
        <v>1994</v>
      </c>
      <c r="H38" s="54">
        <v>495</v>
      </c>
      <c r="I38" s="54" t="s">
        <v>1</v>
      </c>
      <c r="J38" s="56">
        <v>-0.23849999999999999</v>
      </c>
      <c r="L38">
        <v>1991</v>
      </c>
      <c r="M38">
        <v>662</v>
      </c>
      <c r="N38" t="s">
        <v>1</v>
      </c>
      <c r="O38" s="55">
        <v>6.9500000000000006E-2</v>
      </c>
      <c r="Q38">
        <v>1987</v>
      </c>
      <c r="R38">
        <v>157</v>
      </c>
      <c r="S38" t="s">
        <v>1</v>
      </c>
      <c r="T38" s="55">
        <v>3.2899999999999999E-2</v>
      </c>
      <c r="V38">
        <v>1984</v>
      </c>
      <c r="W38">
        <v>24</v>
      </c>
      <c r="X38" t="s">
        <v>1</v>
      </c>
      <c r="Y38" s="55">
        <v>0.26319999999999999</v>
      </c>
    </row>
    <row r="39" spans="1:25" x14ac:dyDescent="0.25">
      <c r="A39">
        <v>19</v>
      </c>
      <c r="B39" s="54">
        <v>1998</v>
      </c>
      <c r="C39" s="54">
        <v>2050</v>
      </c>
      <c r="D39" s="54" t="s">
        <v>1</v>
      </c>
      <c r="E39" s="56">
        <v>0.48230000000000001</v>
      </c>
      <c r="G39" s="54">
        <v>1995</v>
      </c>
      <c r="H39" s="54">
        <v>712</v>
      </c>
      <c r="I39" s="54" t="s">
        <v>1</v>
      </c>
      <c r="J39" s="56">
        <v>0.43840000000000001</v>
      </c>
      <c r="L39">
        <v>1992</v>
      </c>
      <c r="M39">
        <v>689</v>
      </c>
      <c r="N39" t="s">
        <v>1</v>
      </c>
      <c r="O39" s="55">
        <v>4.0800000000000003E-2</v>
      </c>
      <c r="Q39">
        <v>1988</v>
      </c>
      <c r="R39">
        <v>160</v>
      </c>
      <c r="S39" t="s">
        <v>1</v>
      </c>
      <c r="T39" s="55">
        <v>1.9099999999999999E-2</v>
      </c>
      <c r="V39">
        <v>1985</v>
      </c>
      <c r="W39">
        <v>35</v>
      </c>
      <c r="X39" t="s">
        <v>1</v>
      </c>
      <c r="Y39" s="55">
        <v>0.45829999999999999</v>
      </c>
    </row>
    <row r="40" spans="1:25" x14ac:dyDescent="0.25">
      <c r="A40">
        <v>20</v>
      </c>
      <c r="B40" s="54">
        <v>1999</v>
      </c>
      <c r="C40" s="54">
        <v>2480</v>
      </c>
      <c r="D40" s="54" t="s">
        <v>1</v>
      </c>
      <c r="E40" s="56">
        <v>0.20979999999999999</v>
      </c>
      <c r="G40" s="54">
        <v>1996</v>
      </c>
      <c r="H40" s="54">
        <v>657</v>
      </c>
      <c r="I40" s="54" t="s">
        <v>1</v>
      </c>
      <c r="J40" s="56">
        <v>-7.7200000000000005E-2</v>
      </c>
      <c r="L40">
        <v>1993</v>
      </c>
      <c r="M40">
        <v>664</v>
      </c>
      <c r="N40" t="s">
        <v>1</v>
      </c>
      <c r="O40" s="55">
        <v>-3.6299999999999999E-2</v>
      </c>
      <c r="Q40">
        <v>1989</v>
      </c>
      <c r="R40">
        <v>140</v>
      </c>
      <c r="S40" t="s">
        <v>1</v>
      </c>
      <c r="T40" s="55">
        <v>-0.125</v>
      </c>
      <c r="V40">
        <v>1986</v>
      </c>
      <c r="W40">
        <v>39</v>
      </c>
      <c r="X40" t="s">
        <v>1</v>
      </c>
      <c r="Y40" s="55">
        <v>0.1143</v>
      </c>
    </row>
    <row r="41" spans="1:25" x14ac:dyDescent="0.25">
      <c r="A41">
        <v>21</v>
      </c>
      <c r="B41" s="54">
        <v>2000</v>
      </c>
      <c r="C41" s="54">
        <v>3240</v>
      </c>
      <c r="D41" s="54" t="s">
        <v>1</v>
      </c>
      <c r="E41" s="56">
        <v>0.30649999999999999</v>
      </c>
      <c r="G41" s="54">
        <v>1997</v>
      </c>
      <c r="H41" s="54">
        <v>859</v>
      </c>
      <c r="I41" s="54" t="s">
        <v>1</v>
      </c>
      <c r="J41" s="56">
        <v>0.3075</v>
      </c>
      <c r="L41">
        <v>1994</v>
      </c>
      <c r="M41">
        <v>670</v>
      </c>
      <c r="N41" t="s">
        <v>1</v>
      </c>
      <c r="O41" s="55">
        <v>8.9999999999999993E-3</v>
      </c>
      <c r="Q41">
        <v>1990</v>
      </c>
      <c r="R41">
        <v>137</v>
      </c>
      <c r="S41" t="s">
        <v>1</v>
      </c>
      <c r="T41" s="55">
        <v>-2.1399999999999999E-2</v>
      </c>
      <c r="V41">
        <v>1987</v>
      </c>
      <c r="W41">
        <v>53</v>
      </c>
      <c r="X41" t="s">
        <v>1</v>
      </c>
      <c r="Y41" s="55">
        <v>0.35899999999999999</v>
      </c>
    </row>
    <row r="42" spans="1:25" x14ac:dyDescent="0.25">
      <c r="A42">
        <v>22</v>
      </c>
      <c r="B42" s="54">
        <v>2001</v>
      </c>
      <c r="C42" s="54">
        <v>3575</v>
      </c>
      <c r="D42" s="54" t="s">
        <v>1</v>
      </c>
      <c r="E42" s="56">
        <v>0.10340000000000001</v>
      </c>
      <c r="G42" s="54">
        <v>1998</v>
      </c>
      <c r="H42" s="54">
        <v>972</v>
      </c>
      <c r="I42" s="54" t="s">
        <v>1</v>
      </c>
      <c r="J42" s="56">
        <v>0.13150000000000001</v>
      </c>
      <c r="L42">
        <v>1995</v>
      </c>
      <c r="M42">
        <v>666</v>
      </c>
      <c r="N42" t="s">
        <v>1</v>
      </c>
      <c r="O42" s="55">
        <v>-6.0000000000000001E-3</v>
      </c>
      <c r="Q42">
        <v>1991</v>
      </c>
      <c r="R42">
        <v>200</v>
      </c>
      <c r="S42" t="s">
        <v>1</v>
      </c>
      <c r="T42" s="55">
        <v>0.45989999999999998</v>
      </c>
      <c r="V42">
        <v>1988</v>
      </c>
      <c r="W42">
        <v>50</v>
      </c>
      <c r="X42" t="s">
        <v>1</v>
      </c>
      <c r="Y42" s="55">
        <v>-5.6599999999999998E-2</v>
      </c>
    </row>
    <row r="43" spans="1:25" x14ac:dyDescent="0.25">
      <c r="A43">
        <v>23</v>
      </c>
      <c r="B43" s="54">
        <v>2002</v>
      </c>
      <c r="C43" s="54">
        <v>4730</v>
      </c>
      <c r="D43" s="54" t="s">
        <v>1</v>
      </c>
      <c r="E43" s="56">
        <v>0.3231</v>
      </c>
      <c r="G43" s="54">
        <v>1999</v>
      </c>
      <c r="H43" s="54">
        <v>792</v>
      </c>
      <c r="I43" s="54" t="s">
        <v>1</v>
      </c>
      <c r="J43" s="56">
        <v>-0.1852</v>
      </c>
      <c r="L43">
        <v>1996</v>
      </c>
      <c r="M43">
        <v>690</v>
      </c>
      <c r="N43" t="s">
        <v>1</v>
      </c>
      <c r="O43" s="55">
        <v>3.5999999999999997E-2</v>
      </c>
      <c r="Q43">
        <v>1992</v>
      </c>
      <c r="R43">
        <v>159</v>
      </c>
      <c r="S43" t="s">
        <v>1</v>
      </c>
      <c r="T43" s="55">
        <v>-0.20499999999999999</v>
      </c>
      <c r="V43">
        <v>1989</v>
      </c>
      <c r="W43">
        <v>65</v>
      </c>
      <c r="X43" t="s">
        <v>1</v>
      </c>
      <c r="Y43" s="55">
        <v>0.3</v>
      </c>
    </row>
    <row r="44" spans="1:25" x14ac:dyDescent="0.25">
      <c r="A44">
        <v>24</v>
      </c>
      <c r="B44" s="54">
        <v>2003</v>
      </c>
      <c r="C44" s="54">
        <v>4535</v>
      </c>
      <c r="D44" s="54" t="s">
        <v>1</v>
      </c>
      <c r="E44" s="56">
        <v>-4.1200000000000001E-2</v>
      </c>
      <c r="G44" s="54">
        <v>2000</v>
      </c>
      <c r="H44" s="54">
        <v>810</v>
      </c>
      <c r="I44" s="54" t="s">
        <v>1</v>
      </c>
      <c r="J44" s="56">
        <v>2.2700000000000001E-2</v>
      </c>
      <c r="L44">
        <v>1997</v>
      </c>
      <c r="M44">
        <v>670</v>
      </c>
      <c r="N44" t="s">
        <v>1</v>
      </c>
      <c r="O44" s="55">
        <v>-2.9000000000000001E-2</v>
      </c>
      <c r="Q44">
        <v>1993</v>
      </c>
      <c r="R44">
        <v>170</v>
      </c>
      <c r="S44" t="s">
        <v>1</v>
      </c>
      <c r="T44" s="55">
        <v>6.9199999999999998E-2</v>
      </c>
      <c r="V44">
        <v>1990</v>
      </c>
      <c r="W44">
        <v>78</v>
      </c>
      <c r="X44" t="s">
        <v>1</v>
      </c>
      <c r="Y44" s="55">
        <v>0.2</v>
      </c>
    </row>
    <row r="45" spans="1:25" x14ac:dyDescent="0.25">
      <c r="A45">
        <v>25</v>
      </c>
      <c r="B45" s="54">
        <v>2004</v>
      </c>
      <c r="C45" s="54">
        <v>5421</v>
      </c>
      <c r="D45" s="54" t="s">
        <v>1</v>
      </c>
      <c r="E45" s="56">
        <v>0.19539999999999999</v>
      </c>
      <c r="G45" s="54">
        <v>2001</v>
      </c>
      <c r="H45" s="54">
        <v>792</v>
      </c>
      <c r="I45" s="54" t="s">
        <v>1</v>
      </c>
      <c r="J45" s="56">
        <v>-2.2200000000000001E-2</v>
      </c>
      <c r="L45">
        <v>1998</v>
      </c>
      <c r="M45">
        <v>667</v>
      </c>
      <c r="N45" t="s">
        <v>1</v>
      </c>
      <c r="O45" s="55">
        <v>-4.4999999999999997E-3</v>
      </c>
      <c r="Q45">
        <v>1994</v>
      </c>
      <c r="R45">
        <v>204</v>
      </c>
      <c r="S45" t="s">
        <v>1</v>
      </c>
      <c r="T45" s="55">
        <v>0.2</v>
      </c>
      <c r="V45">
        <v>1991</v>
      </c>
      <c r="W45">
        <v>78</v>
      </c>
      <c r="X45" t="s">
        <v>1</v>
      </c>
      <c r="Y45" s="55">
        <v>0</v>
      </c>
    </row>
    <row r="46" spans="1:25" x14ac:dyDescent="0.25">
      <c r="A46">
        <v>26</v>
      </c>
      <c r="B46" s="54">
        <v>2005</v>
      </c>
      <c r="C46" s="54">
        <v>6149</v>
      </c>
      <c r="D46" s="54" t="s">
        <v>1</v>
      </c>
      <c r="E46" s="56">
        <v>0.1343</v>
      </c>
      <c r="G46" s="54">
        <v>2002</v>
      </c>
      <c r="H46" s="54">
        <v>612</v>
      </c>
      <c r="I46" s="54" t="s">
        <v>1</v>
      </c>
      <c r="J46" s="56">
        <v>-0.2273</v>
      </c>
      <c r="L46">
        <v>1999</v>
      </c>
      <c r="M46">
        <v>680</v>
      </c>
      <c r="N46" t="s">
        <v>1</v>
      </c>
      <c r="O46" s="55">
        <v>1.95E-2</v>
      </c>
      <c r="Q46">
        <v>1995</v>
      </c>
      <c r="R46">
        <v>211</v>
      </c>
      <c r="S46" t="s">
        <v>1</v>
      </c>
      <c r="T46" s="55">
        <v>3.4299999999999997E-2</v>
      </c>
      <c r="V46">
        <v>1992</v>
      </c>
      <c r="W46">
        <v>77</v>
      </c>
      <c r="X46" t="s">
        <v>1</v>
      </c>
      <c r="Y46" s="55">
        <v>-1.2800000000000001E-2</v>
      </c>
    </row>
    <row r="47" spans="1:25" x14ac:dyDescent="0.25">
      <c r="A47">
        <v>27</v>
      </c>
      <c r="B47" s="54">
        <v>2006</v>
      </c>
      <c r="C47" s="54">
        <v>6410</v>
      </c>
      <c r="D47" s="54" t="s">
        <v>1</v>
      </c>
      <c r="E47" s="56">
        <v>4.24E-2</v>
      </c>
      <c r="G47" s="54">
        <v>2003</v>
      </c>
      <c r="H47" s="54">
        <v>1008</v>
      </c>
      <c r="I47" s="54" t="s">
        <v>1</v>
      </c>
      <c r="J47" s="56">
        <v>0.64710000000000001</v>
      </c>
      <c r="L47">
        <v>2000</v>
      </c>
      <c r="M47">
        <v>687</v>
      </c>
      <c r="N47" t="s">
        <v>1</v>
      </c>
      <c r="O47" s="55">
        <v>1.03E-2</v>
      </c>
      <c r="Q47">
        <v>1996</v>
      </c>
      <c r="R47">
        <v>245</v>
      </c>
      <c r="S47" t="s">
        <v>1</v>
      </c>
      <c r="T47" s="55">
        <v>0.16109999999999999</v>
      </c>
      <c r="V47">
        <v>1993</v>
      </c>
      <c r="W47">
        <v>67</v>
      </c>
      <c r="X47" t="s">
        <v>1</v>
      </c>
      <c r="Y47" s="55">
        <v>-0.12989999999999999</v>
      </c>
    </row>
    <row r="48" spans="1:25" x14ac:dyDescent="0.25">
      <c r="A48">
        <v>28</v>
      </c>
      <c r="B48" s="54">
        <v>2007</v>
      </c>
      <c r="C48" s="54">
        <v>7045</v>
      </c>
      <c r="D48" s="54" t="s">
        <v>1</v>
      </c>
      <c r="E48" s="56">
        <v>9.9099999999999994E-2</v>
      </c>
      <c r="G48" s="54">
        <v>2004</v>
      </c>
      <c r="H48" s="54">
        <v>900</v>
      </c>
      <c r="I48" s="54" t="s">
        <v>1</v>
      </c>
      <c r="J48" s="56">
        <v>-0.1071</v>
      </c>
      <c r="L48">
        <v>2001</v>
      </c>
      <c r="M48">
        <v>707</v>
      </c>
      <c r="N48" t="s">
        <v>1</v>
      </c>
      <c r="O48" s="55">
        <v>2.9100000000000001E-2</v>
      </c>
      <c r="Q48">
        <v>1997</v>
      </c>
      <c r="R48">
        <v>204</v>
      </c>
      <c r="S48" t="s">
        <v>1</v>
      </c>
      <c r="T48" s="55">
        <v>-0.1673</v>
      </c>
      <c r="V48">
        <v>1994</v>
      </c>
      <c r="W48">
        <v>92</v>
      </c>
      <c r="X48" t="s">
        <v>1</v>
      </c>
      <c r="Y48" s="55">
        <v>0.37309999999999999</v>
      </c>
    </row>
    <row r="49" spans="1:25" x14ac:dyDescent="0.25">
      <c r="A49">
        <v>29</v>
      </c>
      <c r="B49" s="54">
        <v>2008</v>
      </c>
      <c r="C49" s="54">
        <v>7365</v>
      </c>
      <c r="D49" s="54" t="s">
        <v>1</v>
      </c>
      <c r="E49" s="56">
        <v>4.5400000000000003E-2</v>
      </c>
      <c r="G49" s="54">
        <v>2005</v>
      </c>
      <c r="H49" s="54">
        <v>1278</v>
      </c>
      <c r="I49" s="54" t="s">
        <v>1</v>
      </c>
      <c r="J49" s="56">
        <v>0.42</v>
      </c>
      <c r="L49">
        <v>2002</v>
      </c>
      <c r="M49">
        <v>765</v>
      </c>
      <c r="N49" t="s">
        <v>1</v>
      </c>
      <c r="O49" s="55">
        <v>8.2000000000000003E-2</v>
      </c>
      <c r="Q49">
        <v>1998</v>
      </c>
      <c r="R49">
        <v>204</v>
      </c>
      <c r="S49" t="s">
        <v>1</v>
      </c>
      <c r="T49" s="55">
        <v>0</v>
      </c>
      <c r="V49">
        <v>1995</v>
      </c>
      <c r="W49">
        <v>97</v>
      </c>
      <c r="X49" t="s">
        <v>1</v>
      </c>
      <c r="Y49" s="55">
        <v>5.4300000000000001E-2</v>
      </c>
    </row>
    <row r="50" spans="1:25" x14ac:dyDescent="0.25">
      <c r="A50">
        <v>30</v>
      </c>
      <c r="B50" s="54">
        <v>2009</v>
      </c>
      <c r="C50" s="54">
        <v>8781</v>
      </c>
      <c r="D50" s="54" t="s">
        <v>1</v>
      </c>
      <c r="E50" s="56">
        <v>0.1923</v>
      </c>
      <c r="G50" s="54">
        <v>2006</v>
      </c>
      <c r="H50" s="54">
        <v>1170</v>
      </c>
      <c r="I50" s="54" t="s">
        <v>1</v>
      </c>
      <c r="J50" s="56">
        <v>-8.4500000000000006E-2</v>
      </c>
      <c r="L50">
        <v>2003</v>
      </c>
      <c r="M50">
        <v>645</v>
      </c>
      <c r="N50" t="s">
        <v>1</v>
      </c>
      <c r="O50" s="55">
        <v>-0.15690000000000001</v>
      </c>
      <c r="Q50">
        <v>1999</v>
      </c>
      <c r="R50">
        <v>222</v>
      </c>
      <c r="S50" t="s">
        <v>1</v>
      </c>
      <c r="T50" s="55">
        <v>8.8200000000000001E-2</v>
      </c>
      <c r="V50">
        <v>1996</v>
      </c>
      <c r="W50">
        <v>109</v>
      </c>
      <c r="X50" t="s">
        <v>1</v>
      </c>
      <c r="Y50" s="55">
        <v>0.1237</v>
      </c>
    </row>
    <row r="51" spans="1:25" x14ac:dyDescent="0.25">
      <c r="A51">
        <v>31</v>
      </c>
      <c r="B51" s="54">
        <v>2010</v>
      </c>
      <c r="C51" s="54">
        <v>9856</v>
      </c>
      <c r="D51" s="54" t="s">
        <v>1</v>
      </c>
      <c r="E51" s="56">
        <v>0.12239999999999999</v>
      </c>
      <c r="G51" s="54">
        <v>2007</v>
      </c>
      <c r="H51" s="54">
        <v>1494</v>
      </c>
      <c r="I51" s="54" t="s">
        <v>1</v>
      </c>
      <c r="J51" s="56">
        <v>0.27689999999999998</v>
      </c>
      <c r="L51">
        <v>2004</v>
      </c>
      <c r="M51">
        <v>579</v>
      </c>
      <c r="N51" t="s">
        <v>1</v>
      </c>
      <c r="O51" s="55">
        <v>-0.1023</v>
      </c>
      <c r="Q51">
        <v>2000</v>
      </c>
      <c r="R51">
        <v>194</v>
      </c>
      <c r="S51" t="s">
        <v>1</v>
      </c>
      <c r="T51" s="55">
        <v>-0.12609999999999999</v>
      </c>
      <c r="V51">
        <v>1997</v>
      </c>
      <c r="W51">
        <v>63</v>
      </c>
      <c r="X51" t="s">
        <v>1</v>
      </c>
      <c r="Y51" s="55">
        <v>-0.42199999999999999</v>
      </c>
    </row>
    <row r="52" spans="1:25" x14ac:dyDescent="0.25">
      <c r="A52">
        <v>32</v>
      </c>
      <c r="B52" s="54">
        <v>2011</v>
      </c>
      <c r="C52" s="54">
        <v>10931</v>
      </c>
      <c r="D52" s="54" t="s">
        <v>1</v>
      </c>
      <c r="E52" s="56">
        <v>0.1091</v>
      </c>
      <c r="G52" s="54">
        <v>2008</v>
      </c>
      <c r="H52" s="54">
        <v>1458</v>
      </c>
      <c r="I52" s="54" t="s">
        <v>1</v>
      </c>
      <c r="J52" s="56">
        <v>-2.41E-2</v>
      </c>
      <c r="L52">
        <v>2005</v>
      </c>
      <c r="M52">
        <v>579</v>
      </c>
      <c r="N52" t="s">
        <v>1</v>
      </c>
      <c r="O52" s="55">
        <v>0</v>
      </c>
      <c r="Q52">
        <v>2001</v>
      </c>
      <c r="R52">
        <v>203</v>
      </c>
      <c r="S52" t="s">
        <v>1</v>
      </c>
      <c r="T52" s="55">
        <v>4.6399999999999997E-2</v>
      </c>
      <c r="V52">
        <v>1998</v>
      </c>
      <c r="W52">
        <v>60</v>
      </c>
      <c r="X52" t="s">
        <v>1</v>
      </c>
      <c r="Y52" s="55">
        <v>-4.7600000000000003E-2</v>
      </c>
    </row>
    <row r="53" spans="1:25" x14ac:dyDescent="0.25">
      <c r="A53">
        <v>33</v>
      </c>
      <c r="B53" s="54">
        <v>2012</v>
      </c>
      <c r="C53" s="54">
        <v>11648</v>
      </c>
      <c r="D53" s="54" t="s">
        <v>1</v>
      </c>
      <c r="E53" s="56">
        <v>6.5600000000000006E-2</v>
      </c>
      <c r="G53" s="54">
        <v>2009</v>
      </c>
      <c r="H53" s="54">
        <v>1404</v>
      </c>
      <c r="I53" s="54" t="s">
        <v>1</v>
      </c>
      <c r="J53" s="56">
        <v>-3.6999999999999998E-2</v>
      </c>
      <c r="L53">
        <v>2006</v>
      </c>
      <c r="M53">
        <v>576</v>
      </c>
      <c r="N53" t="s">
        <v>1</v>
      </c>
      <c r="O53" s="55">
        <v>-5.1999999999999998E-3</v>
      </c>
      <c r="Q53">
        <v>2002</v>
      </c>
      <c r="R53">
        <v>215</v>
      </c>
      <c r="S53" t="s">
        <v>1</v>
      </c>
      <c r="T53" s="55">
        <v>5.91E-2</v>
      </c>
      <c r="V53">
        <v>1999</v>
      </c>
      <c r="W53">
        <v>54</v>
      </c>
      <c r="X53" t="s">
        <v>1</v>
      </c>
      <c r="Y53" s="55">
        <v>-0.1</v>
      </c>
    </row>
    <row r="54" spans="1:25" x14ac:dyDescent="0.25">
      <c r="A54">
        <v>34</v>
      </c>
      <c r="B54" s="54">
        <v>2013</v>
      </c>
      <c r="C54" s="54">
        <v>12347</v>
      </c>
      <c r="D54" s="54" t="s">
        <v>1</v>
      </c>
      <c r="E54" s="56">
        <v>0.06</v>
      </c>
      <c r="G54" s="54">
        <v>2010</v>
      </c>
      <c r="H54" s="54">
        <v>1683</v>
      </c>
      <c r="I54" s="54" t="s">
        <v>1</v>
      </c>
      <c r="J54" s="56">
        <v>0.19869999999999999</v>
      </c>
      <c r="L54">
        <v>2007</v>
      </c>
      <c r="M54">
        <v>563</v>
      </c>
      <c r="N54" t="s">
        <v>1</v>
      </c>
      <c r="O54" s="55">
        <v>-2.2599999999999999E-2</v>
      </c>
      <c r="Q54">
        <v>2003</v>
      </c>
      <c r="R54">
        <v>193</v>
      </c>
      <c r="S54" t="s">
        <v>1</v>
      </c>
      <c r="T54" s="55">
        <v>-0.1023</v>
      </c>
      <c r="V54">
        <v>2000</v>
      </c>
      <c r="W54">
        <v>77</v>
      </c>
      <c r="X54" t="s">
        <v>1</v>
      </c>
      <c r="Y54" s="55">
        <v>0.4259</v>
      </c>
    </row>
    <row r="55" spans="1:25" x14ac:dyDescent="0.25">
      <c r="A55">
        <v>35</v>
      </c>
      <c r="B55" s="54">
        <v>2014</v>
      </c>
      <c r="C55" s="54">
        <v>13350</v>
      </c>
      <c r="D55" s="54" t="s">
        <v>1</v>
      </c>
      <c r="E55" s="56">
        <v>8.1199999999999994E-2</v>
      </c>
      <c r="G55" s="54">
        <v>2011</v>
      </c>
      <c r="H55" s="54">
        <v>1854</v>
      </c>
      <c r="I55" s="54" t="s">
        <v>1</v>
      </c>
      <c r="J55" s="56">
        <v>0.1016</v>
      </c>
      <c r="L55">
        <v>2008</v>
      </c>
      <c r="M55">
        <v>479</v>
      </c>
      <c r="N55" t="s">
        <v>1</v>
      </c>
      <c r="O55" s="55">
        <v>-0.1492</v>
      </c>
      <c r="Q55">
        <v>2004</v>
      </c>
      <c r="R55">
        <v>173</v>
      </c>
      <c r="S55" t="s">
        <v>1</v>
      </c>
      <c r="T55" s="55">
        <v>-0.1036</v>
      </c>
      <c r="V55">
        <v>2001</v>
      </c>
      <c r="W55">
        <v>91</v>
      </c>
      <c r="X55" t="s">
        <v>1</v>
      </c>
      <c r="Y55" s="55">
        <v>0.18179999999999999</v>
      </c>
    </row>
    <row r="56" spans="1:25" x14ac:dyDescent="0.25">
      <c r="A56">
        <v>36</v>
      </c>
      <c r="B56" s="54">
        <v>2015</v>
      </c>
      <c r="C56" s="54">
        <v>14605</v>
      </c>
      <c r="D56" s="54" t="s">
        <v>1</v>
      </c>
      <c r="E56" s="56">
        <v>9.4E-2</v>
      </c>
      <c r="G56" s="54">
        <v>2012</v>
      </c>
      <c r="H56" s="54">
        <v>1944</v>
      </c>
      <c r="I56" s="54" t="s">
        <v>1</v>
      </c>
      <c r="J56" s="56">
        <v>4.8500000000000001E-2</v>
      </c>
      <c r="L56">
        <v>2009</v>
      </c>
      <c r="M56">
        <v>480</v>
      </c>
      <c r="N56" t="s">
        <v>1</v>
      </c>
      <c r="O56" s="55">
        <v>2.0999999999999999E-3</v>
      </c>
      <c r="Q56">
        <v>2005</v>
      </c>
      <c r="R56">
        <v>161</v>
      </c>
      <c r="S56" t="s">
        <v>1</v>
      </c>
      <c r="T56" s="55">
        <v>-6.9400000000000003E-2</v>
      </c>
      <c r="V56">
        <v>2002</v>
      </c>
      <c r="W56">
        <v>71</v>
      </c>
      <c r="X56" t="s">
        <v>1</v>
      </c>
      <c r="Y56" s="55">
        <v>-0.2198</v>
      </c>
    </row>
    <row r="57" spans="1:25" x14ac:dyDescent="0.25">
      <c r="A57">
        <v>37</v>
      </c>
      <c r="B57" s="54">
        <v>2016</v>
      </c>
      <c r="C57" s="54">
        <v>15770</v>
      </c>
      <c r="D57" s="54" t="s">
        <v>1</v>
      </c>
      <c r="E57" s="56">
        <v>7.9799999999999996E-2</v>
      </c>
      <c r="G57" s="54">
        <v>2013</v>
      </c>
      <c r="H57" s="54">
        <v>1566</v>
      </c>
      <c r="I57" s="54" t="s">
        <v>1</v>
      </c>
      <c r="J57" s="56">
        <v>-0.19439999999999999</v>
      </c>
      <c r="L57">
        <v>2010</v>
      </c>
      <c r="M57">
        <v>417</v>
      </c>
      <c r="N57" t="s">
        <v>1</v>
      </c>
      <c r="O57" s="55">
        <v>-0.1313</v>
      </c>
      <c r="Q57">
        <v>2006</v>
      </c>
      <c r="R57">
        <v>171</v>
      </c>
      <c r="S57" t="s">
        <v>1</v>
      </c>
      <c r="T57" s="55">
        <v>6.2100000000000002E-2</v>
      </c>
      <c r="V57">
        <v>2003</v>
      </c>
      <c r="W57">
        <v>71</v>
      </c>
      <c r="X57" t="s">
        <v>1</v>
      </c>
      <c r="Y57" s="55">
        <v>0</v>
      </c>
    </row>
    <row r="58" spans="1:25" x14ac:dyDescent="0.25">
      <c r="A58">
        <v>38</v>
      </c>
      <c r="B58" s="54">
        <v>2017</v>
      </c>
      <c r="C58" s="54">
        <v>16128</v>
      </c>
      <c r="D58" s="54" t="s">
        <v>1</v>
      </c>
      <c r="E58" s="56">
        <v>2.2700000000000001E-2</v>
      </c>
      <c r="G58" s="54">
        <v>2014</v>
      </c>
      <c r="H58" s="54">
        <v>1386</v>
      </c>
      <c r="I58" s="54" t="s">
        <v>1</v>
      </c>
      <c r="J58" s="56">
        <v>-0.1149</v>
      </c>
      <c r="L58">
        <v>2011</v>
      </c>
      <c r="M58">
        <v>380</v>
      </c>
      <c r="N58" t="s">
        <v>1</v>
      </c>
      <c r="O58" s="55">
        <v>-8.8700000000000001E-2</v>
      </c>
      <c r="Q58">
        <v>2007</v>
      </c>
      <c r="R58">
        <v>168</v>
      </c>
      <c r="S58" t="s">
        <v>1</v>
      </c>
      <c r="T58" s="55">
        <v>-1.7500000000000002E-2</v>
      </c>
      <c r="V58">
        <v>2004</v>
      </c>
      <c r="W58">
        <v>71</v>
      </c>
      <c r="X58" t="s">
        <v>1</v>
      </c>
      <c r="Y58" s="55">
        <v>0</v>
      </c>
    </row>
    <row r="59" spans="1:25" x14ac:dyDescent="0.25">
      <c r="A59">
        <v>39</v>
      </c>
      <c r="B59" s="54">
        <v>2018</v>
      </c>
      <c r="C59" s="54">
        <v>15232</v>
      </c>
      <c r="D59" s="54" t="s">
        <v>1</v>
      </c>
      <c r="E59" s="56">
        <v>-5.5599999999999997E-2</v>
      </c>
      <c r="G59" s="54">
        <v>2015</v>
      </c>
      <c r="H59" s="54">
        <v>990</v>
      </c>
      <c r="I59" s="54" t="s">
        <v>1</v>
      </c>
      <c r="J59" s="56">
        <v>-0.28570000000000001</v>
      </c>
      <c r="L59">
        <v>2012</v>
      </c>
      <c r="M59">
        <v>379</v>
      </c>
      <c r="N59" t="s">
        <v>1</v>
      </c>
      <c r="O59" s="55">
        <v>-2.5999999999999999E-3</v>
      </c>
      <c r="Q59">
        <v>2008</v>
      </c>
      <c r="R59">
        <v>163</v>
      </c>
      <c r="S59" t="s">
        <v>1</v>
      </c>
      <c r="T59" s="55">
        <v>-2.98E-2</v>
      </c>
      <c r="V59">
        <v>2005</v>
      </c>
      <c r="W59">
        <v>72</v>
      </c>
      <c r="X59" t="s">
        <v>1</v>
      </c>
      <c r="Y59" s="55">
        <v>1.41E-2</v>
      </c>
    </row>
    <row r="60" spans="1:25" x14ac:dyDescent="0.25">
      <c r="A60">
        <v>40</v>
      </c>
      <c r="B60" s="54">
        <v>2019</v>
      </c>
      <c r="C60" s="54">
        <v>16397</v>
      </c>
      <c r="D60" s="54" t="s">
        <v>1</v>
      </c>
      <c r="E60" s="56">
        <v>7.6499999999999999E-2</v>
      </c>
      <c r="G60" s="54">
        <v>2016</v>
      </c>
      <c r="H60" s="54">
        <v>1620</v>
      </c>
      <c r="I60" s="54" t="s">
        <v>1</v>
      </c>
      <c r="J60" s="56">
        <v>0.63639999999999997</v>
      </c>
      <c r="L60">
        <v>2013</v>
      </c>
      <c r="M60">
        <v>389</v>
      </c>
      <c r="N60" t="s">
        <v>1</v>
      </c>
      <c r="O60" s="55">
        <v>2.64E-2</v>
      </c>
      <c r="Q60">
        <v>2009</v>
      </c>
      <c r="R60">
        <v>162</v>
      </c>
      <c r="S60" t="s">
        <v>1</v>
      </c>
      <c r="T60" s="55">
        <v>-6.1000000000000004E-3</v>
      </c>
      <c r="V60">
        <v>2006</v>
      </c>
      <c r="W60">
        <v>66</v>
      </c>
      <c r="X60" t="s">
        <v>1</v>
      </c>
      <c r="Y60" s="55">
        <v>-8.3299999999999999E-2</v>
      </c>
    </row>
    <row r="61" spans="1:25" x14ac:dyDescent="0.25">
      <c r="A61">
        <v>41</v>
      </c>
      <c r="B61" s="54">
        <v>2020</v>
      </c>
      <c r="C61" s="54">
        <v>16666</v>
      </c>
      <c r="D61" s="54" t="s">
        <v>1</v>
      </c>
      <c r="E61" s="56">
        <v>1.6400000000000001E-2</v>
      </c>
      <c r="G61" s="54">
        <v>2017</v>
      </c>
      <c r="H61" s="54">
        <v>1386</v>
      </c>
      <c r="I61" s="54" t="s">
        <v>1</v>
      </c>
      <c r="J61" s="56">
        <v>-0.1444</v>
      </c>
      <c r="L61">
        <v>2014</v>
      </c>
      <c r="M61">
        <v>414</v>
      </c>
      <c r="N61" t="s">
        <v>1</v>
      </c>
      <c r="O61" s="55">
        <v>6.4299999999999996E-2</v>
      </c>
      <c r="Q61">
        <v>2010</v>
      </c>
      <c r="R61">
        <v>165</v>
      </c>
      <c r="S61" t="s">
        <v>1</v>
      </c>
      <c r="T61" s="55">
        <v>1.8499999999999999E-2</v>
      </c>
      <c r="V61">
        <v>2007</v>
      </c>
      <c r="W61">
        <v>58</v>
      </c>
      <c r="X61" t="s">
        <v>1</v>
      </c>
      <c r="Y61" s="55">
        <v>-0.1212</v>
      </c>
    </row>
    <row r="62" spans="1:25" x14ac:dyDescent="0.25">
      <c r="A62">
        <v>42</v>
      </c>
      <c r="B62" s="54">
        <v>2021</v>
      </c>
      <c r="C62" s="54">
        <v>15590</v>
      </c>
      <c r="D62" s="54" t="s">
        <v>1</v>
      </c>
      <c r="E62" s="56">
        <v>-6.4600000000000005E-2</v>
      </c>
      <c r="G62" s="54">
        <v>2018</v>
      </c>
      <c r="H62" s="54">
        <v>1728</v>
      </c>
      <c r="I62" s="54" t="s">
        <v>1</v>
      </c>
      <c r="J62" s="56">
        <v>0.24679999999999999</v>
      </c>
      <c r="L62">
        <v>2015</v>
      </c>
      <c r="M62">
        <v>445</v>
      </c>
      <c r="N62" t="s">
        <v>1</v>
      </c>
      <c r="O62" s="55">
        <v>7.4899999999999994E-2</v>
      </c>
      <c r="Q62">
        <v>2011</v>
      </c>
      <c r="R62">
        <v>146</v>
      </c>
      <c r="S62" t="s">
        <v>1</v>
      </c>
      <c r="T62" s="55">
        <v>-0.1152</v>
      </c>
      <c r="V62">
        <v>2008</v>
      </c>
      <c r="W62">
        <v>65</v>
      </c>
      <c r="X62" t="s">
        <v>1</v>
      </c>
      <c r="Y62" s="55">
        <v>0.1207</v>
      </c>
    </row>
    <row r="63" spans="1:25" x14ac:dyDescent="0.25">
      <c r="B63" s="54"/>
      <c r="C63" s="54"/>
      <c r="D63" s="54"/>
      <c r="E63" s="56"/>
      <c r="G63" s="54">
        <v>2019</v>
      </c>
      <c r="H63" s="54">
        <v>1512</v>
      </c>
      <c r="I63" s="54" t="s">
        <v>1</v>
      </c>
      <c r="J63" s="56">
        <v>-0.125</v>
      </c>
      <c r="L63">
        <v>2016</v>
      </c>
      <c r="M63">
        <v>466</v>
      </c>
      <c r="N63" t="s">
        <v>1</v>
      </c>
      <c r="O63" s="55">
        <v>4.7199999999999999E-2</v>
      </c>
      <c r="Q63">
        <v>2012</v>
      </c>
      <c r="R63">
        <v>144</v>
      </c>
      <c r="S63" t="s">
        <v>1</v>
      </c>
      <c r="T63" s="55">
        <v>-1.37E-2</v>
      </c>
      <c r="V63">
        <v>2009</v>
      </c>
      <c r="W63">
        <v>68</v>
      </c>
      <c r="X63" t="s">
        <v>1</v>
      </c>
      <c r="Y63" s="55">
        <v>4.6199999999999998E-2</v>
      </c>
    </row>
    <row r="64" spans="1:25" x14ac:dyDescent="0.25">
      <c r="G64" s="54">
        <v>2020</v>
      </c>
      <c r="H64" s="54">
        <v>1710</v>
      </c>
      <c r="I64" s="54" t="s">
        <v>1</v>
      </c>
      <c r="J64" s="56">
        <v>0.13100000000000001</v>
      </c>
      <c r="L64">
        <v>2017</v>
      </c>
      <c r="M64">
        <v>468</v>
      </c>
      <c r="N64" t="s">
        <v>1</v>
      </c>
      <c r="O64" s="55">
        <v>4.3E-3</v>
      </c>
      <c r="Q64">
        <v>2013</v>
      </c>
      <c r="R64">
        <v>160</v>
      </c>
      <c r="S64" t="s">
        <v>1</v>
      </c>
      <c r="T64" s="55">
        <v>0.1111</v>
      </c>
      <c r="V64">
        <v>2010</v>
      </c>
      <c r="W64">
        <v>72</v>
      </c>
      <c r="X64" t="s">
        <v>1</v>
      </c>
      <c r="Y64" s="55">
        <v>5.8799999999999998E-2</v>
      </c>
    </row>
    <row r="65" spans="7:25" x14ac:dyDescent="0.25">
      <c r="G65" s="54">
        <v>2021</v>
      </c>
      <c r="H65" s="54">
        <v>1710</v>
      </c>
      <c r="I65" s="54" t="s">
        <v>1</v>
      </c>
      <c r="J65" s="56">
        <v>0</v>
      </c>
      <c r="L65">
        <v>2018</v>
      </c>
      <c r="M65">
        <v>478</v>
      </c>
      <c r="N65" t="s">
        <v>1</v>
      </c>
      <c r="O65" s="55">
        <v>2.1399999999999999E-2</v>
      </c>
      <c r="Q65">
        <v>2014</v>
      </c>
      <c r="R65">
        <v>182</v>
      </c>
      <c r="S65" t="s">
        <v>1</v>
      </c>
      <c r="T65" s="55">
        <v>0.13750000000000001</v>
      </c>
      <c r="V65">
        <v>2011</v>
      </c>
      <c r="W65">
        <v>71</v>
      </c>
      <c r="X65" t="s">
        <v>1</v>
      </c>
      <c r="Y65" s="55">
        <v>-1.3899999999999999E-2</v>
      </c>
    </row>
    <row r="66" spans="7:25" x14ac:dyDescent="0.25">
      <c r="L66">
        <v>2019</v>
      </c>
      <c r="M66">
        <v>468</v>
      </c>
      <c r="N66" t="s">
        <v>1</v>
      </c>
      <c r="O66" s="55">
        <v>-2.0899999999999998E-2</v>
      </c>
      <c r="Q66">
        <v>2015</v>
      </c>
      <c r="R66">
        <v>185</v>
      </c>
      <c r="S66" t="s">
        <v>1</v>
      </c>
      <c r="T66" s="55">
        <v>1.6500000000000001E-2</v>
      </c>
      <c r="V66">
        <v>2012</v>
      </c>
      <c r="W66">
        <v>70</v>
      </c>
      <c r="X66" t="s">
        <v>1</v>
      </c>
      <c r="Y66" s="55">
        <v>-1.41E-2</v>
      </c>
    </row>
    <row r="67" spans="7:25" x14ac:dyDescent="0.25">
      <c r="L67">
        <v>2020</v>
      </c>
      <c r="M67">
        <v>460</v>
      </c>
      <c r="N67" t="s">
        <v>1</v>
      </c>
      <c r="O67" s="55">
        <v>-1.7100000000000001E-2</v>
      </c>
      <c r="Q67">
        <v>2016</v>
      </c>
      <c r="R67">
        <v>175</v>
      </c>
      <c r="S67" t="s">
        <v>1</v>
      </c>
      <c r="T67" s="55">
        <v>-5.4100000000000002E-2</v>
      </c>
      <c r="V67">
        <v>2013</v>
      </c>
      <c r="W67">
        <v>66</v>
      </c>
      <c r="X67" t="s">
        <v>1</v>
      </c>
      <c r="Y67" s="55">
        <v>-5.7099999999999998E-2</v>
      </c>
    </row>
    <row r="68" spans="7:25" x14ac:dyDescent="0.25">
      <c r="L68">
        <v>2021</v>
      </c>
      <c r="M68">
        <v>488</v>
      </c>
      <c r="N68" t="s">
        <v>1</v>
      </c>
      <c r="O68" s="55">
        <v>6.0900000000000003E-2</v>
      </c>
      <c r="Q68">
        <v>2017</v>
      </c>
      <c r="R68">
        <v>177</v>
      </c>
      <c r="S68" t="s">
        <v>1</v>
      </c>
      <c r="T68" s="55">
        <v>1.14E-2</v>
      </c>
      <c r="V68">
        <v>2014</v>
      </c>
      <c r="W68">
        <v>77</v>
      </c>
      <c r="X68" t="s">
        <v>1</v>
      </c>
      <c r="Y68" s="55">
        <v>0.16669999999999999</v>
      </c>
    </row>
    <row r="69" spans="7:25" x14ac:dyDescent="0.25">
      <c r="Q69">
        <v>2018</v>
      </c>
      <c r="R69">
        <v>176</v>
      </c>
      <c r="S69" t="s">
        <v>1</v>
      </c>
      <c r="T69" s="55">
        <v>-5.5999999999999999E-3</v>
      </c>
      <c r="V69">
        <v>2015</v>
      </c>
      <c r="W69">
        <v>105</v>
      </c>
      <c r="X69" t="s">
        <v>1</v>
      </c>
      <c r="Y69" s="55">
        <v>0.36359999999999998</v>
      </c>
    </row>
    <row r="70" spans="7:25" x14ac:dyDescent="0.25">
      <c r="Q70">
        <v>2019</v>
      </c>
      <c r="R70">
        <v>183</v>
      </c>
      <c r="S70" t="s">
        <v>1</v>
      </c>
      <c r="T70" s="55">
        <v>3.9800000000000002E-2</v>
      </c>
      <c r="V70">
        <v>2016</v>
      </c>
      <c r="W70">
        <v>96</v>
      </c>
      <c r="X70" t="s">
        <v>1</v>
      </c>
      <c r="Y70" s="55">
        <v>-8.5699999999999998E-2</v>
      </c>
    </row>
    <row r="71" spans="7:25" x14ac:dyDescent="0.25">
      <c r="Q71">
        <v>2020</v>
      </c>
      <c r="R71">
        <v>183</v>
      </c>
      <c r="S71" t="s">
        <v>1</v>
      </c>
      <c r="T71" s="55">
        <v>0</v>
      </c>
      <c r="V71">
        <v>2017</v>
      </c>
      <c r="W71">
        <v>87</v>
      </c>
      <c r="X71" t="s">
        <v>1</v>
      </c>
      <c r="Y71" s="55">
        <v>-9.3799999999999994E-2</v>
      </c>
    </row>
    <row r="72" spans="7:25" x14ac:dyDescent="0.25">
      <c r="Q72">
        <v>2021</v>
      </c>
      <c r="R72">
        <v>185</v>
      </c>
      <c r="S72" t="s">
        <v>1</v>
      </c>
      <c r="T72" s="55">
        <v>1.09E-2</v>
      </c>
      <c r="V72">
        <v>2018</v>
      </c>
      <c r="W72">
        <v>93</v>
      </c>
      <c r="X72" t="s">
        <v>1</v>
      </c>
      <c r="Y72" s="55">
        <v>6.9000000000000006E-2</v>
      </c>
    </row>
    <row r="73" spans="7:25" x14ac:dyDescent="0.25">
      <c r="V73">
        <v>2019</v>
      </c>
      <c r="W73">
        <v>94</v>
      </c>
      <c r="X73" t="s">
        <v>1</v>
      </c>
      <c r="Y73" s="55">
        <v>1.0800000000000001E-2</v>
      </c>
    </row>
    <row r="74" spans="7:25" x14ac:dyDescent="0.25">
      <c r="V74">
        <v>2020</v>
      </c>
      <c r="W74">
        <v>95</v>
      </c>
      <c r="X74" t="s">
        <v>1</v>
      </c>
      <c r="Y74" s="55">
        <v>1.06E-2</v>
      </c>
    </row>
    <row r="75" spans="7:25" x14ac:dyDescent="0.25">
      <c r="V75">
        <v>2021</v>
      </c>
      <c r="W75">
        <v>90</v>
      </c>
      <c r="X75" t="s">
        <v>1</v>
      </c>
      <c r="Y75" s="55">
        <v>-5.2600000000000001E-2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0"/>
  <sheetViews>
    <sheetView tabSelected="1" topLeftCell="A34" zoomScale="95" zoomScaleNormal="95" workbookViewId="0">
      <selection activeCell="K51" sqref="K51"/>
    </sheetView>
  </sheetViews>
  <sheetFormatPr defaultRowHeight="15" x14ac:dyDescent="0.25"/>
  <cols>
    <col min="1" max="1" width="11.140625" customWidth="1"/>
    <col min="3" max="3" width="12" customWidth="1"/>
    <col min="4" max="4" width="9.5703125" customWidth="1"/>
    <col min="5" max="5" width="13.28515625" customWidth="1"/>
    <col min="6" max="6" width="11.85546875" customWidth="1"/>
    <col min="7" max="7" width="9.5703125" customWidth="1"/>
    <col min="8" max="8" width="14.28515625" customWidth="1"/>
    <col min="9" max="9" width="12" customWidth="1"/>
    <col min="10" max="10" width="9.85546875" customWidth="1"/>
    <col min="11" max="11" width="12.85546875" customWidth="1"/>
    <col min="12" max="12" width="13.7109375" customWidth="1"/>
    <col min="13" max="13" width="9.85546875" customWidth="1"/>
    <col min="14" max="14" width="12.7109375" customWidth="1"/>
    <col min="15" max="15" width="11.85546875" customWidth="1"/>
    <col min="16" max="16" width="10.140625" customWidth="1"/>
    <col min="17" max="17" width="13.85546875" customWidth="1"/>
  </cols>
  <sheetData>
    <row r="1" spans="1:17" x14ac:dyDescent="0.25">
      <c r="A1" s="86" t="s">
        <v>38</v>
      </c>
      <c r="B1" s="85" t="s">
        <v>2</v>
      </c>
      <c r="C1" s="88" t="s">
        <v>0</v>
      </c>
      <c r="D1" s="88"/>
      <c r="E1" s="88"/>
      <c r="F1" s="89" t="s">
        <v>3</v>
      </c>
      <c r="G1" s="89"/>
      <c r="H1" s="89"/>
      <c r="I1" s="90" t="s">
        <v>7</v>
      </c>
      <c r="J1" s="90"/>
      <c r="K1" s="90"/>
      <c r="L1" s="91" t="s">
        <v>8</v>
      </c>
      <c r="M1" s="91"/>
      <c r="N1" s="91"/>
      <c r="O1" s="84" t="s">
        <v>9</v>
      </c>
      <c r="P1" s="84"/>
      <c r="Q1" s="84"/>
    </row>
    <row r="2" spans="1:17" ht="30" x14ac:dyDescent="0.25">
      <c r="A2" s="87"/>
      <c r="B2" s="85"/>
      <c r="C2" s="58" t="s">
        <v>25</v>
      </c>
      <c r="D2" s="58" t="s">
        <v>28</v>
      </c>
      <c r="E2" s="58" t="s">
        <v>31</v>
      </c>
      <c r="F2" s="59" t="s">
        <v>24</v>
      </c>
      <c r="G2" s="59" t="s">
        <v>27</v>
      </c>
      <c r="H2" s="59" t="s">
        <v>23</v>
      </c>
      <c r="I2" s="60" t="s">
        <v>29</v>
      </c>
      <c r="J2" s="60" t="s">
        <v>26</v>
      </c>
      <c r="K2" s="60" t="s">
        <v>30</v>
      </c>
      <c r="L2" s="61" t="s">
        <v>32</v>
      </c>
      <c r="M2" s="61" t="s">
        <v>33</v>
      </c>
      <c r="N2" s="61" t="s">
        <v>34</v>
      </c>
      <c r="O2" s="57" t="s">
        <v>35</v>
      </c>
      <c r="P2" s="57" t="s">
        <v>36</v>
      </c>
      <c r="Q2" s="57" t="s">
        <v>37</v>
      </c>
    </row>
    <row r="3" spans="1:17" x14ac:dyDescent="0.25">
      <c r="A3" s="63">
        <v>1</v>
      </c>
      <c r="B3" s="62">
        <v>1980</v>
      </c>
      <c r="C3" s="64">
        <v>183</v>
      </c>
      <c r="D3" s="64" t="s">
        <v>1</v>
      </c>
      <c r="E3" s="65">
        <v>2.81E-2</v>
      </c>
      <c r="F3" s="6">
        <v>69</v>
      </c>
      <c r="G3" s="6" t="s">
        <v>1</v>
      </c>
      <c r="H3" s="6">
        <v>0.2545</v>
      </c>
      <c r="I3" s="15">
        <v>626</v>
      </c>
      <c r="J3" s="15" t="s">
        <v>1</v>
      </c>
      <c r="K3" s="15">
        <v>1.6000000000000001E-3</v>
      </c>
      <c r="L3" s="16">
        <v>66</v>
      </c>
      <c r="M3" s="16" t="s">
        <v>1</v>
      </c>
      <c r="N3" s="16">
        <v>0.32</v>
      </c>
      <c r="O3" s="9">
        <v>25</v>
      </c>
      <c r="P3" s="9" t="s">
        <v>1</v>
      </c>
      <c r="Q3" s="9">
        <v>2.5714000000000001</v>
      </c>
    </row>
    <row r="4" spans="1:17" x14ac:dyDescent="0.25">
      <c r="A4" s="63">
        <v>2</v>
      </c>
      <c r="B4" s="62">
        <v>1981</v>
      </c>
      <c r="C4" s="64">
        <v>216</v>
      </c>
      <c r="D4" s="64" t="s">
        <v>1</v>
      </c>
      <c r="E4" s="65">
        <v>0.18029999999999999</v>
      </c>
      <c r="F4" s="6">
        <v>73</v>
      </c>
      <c r="G4" s="6" t="s">
        <v>1</v>
      </c>
      <c r="H4" s="6">
        <v>5.8000000000000003E-2</v>
      </c>
      <c r="I4" s="15">
        <v>633</v>
      </c>
      <c r="J4" s="15" t="s">
        <v>1</v>
      </c>
      <c r="K4" s="15">
        <v>1.12E-2</v>
      </c>
      <c r="L4" s="16">
        <v>74</v>
      </c>
      <c r="M4" s="16" t="s">
        <v>1</v>
      </c>
      <c r="N4" s="16">
        <v>0.1212</v>
      </c>
      <c r="O4" s="9">
        <v>29</v>
      </c>
      <c r="P4" s="9" t="s">
        <v>1</v>
      </c>
      <c r="Q4" s="9">
        <v>0.16</v>
      </c>
    </row>
    <row r="5" spans="1:17" x14ac:dyDescent="0.25">
      <c r="A5" s="63">
        <v>3</v>
      </c>
      <c r="B5" s="62">
        <v>1982</v>
      </c>
      <c r="C5" s="64">
        <v>193</v>
      </c>
      <c r="D5" s="64" t="s">
        <v>1</v>
      </c>
      <c r="E5" s="65">
        <v>-0.1065</v>
      </c>
      <c r="F5" s="6">
        <v>76</v>
      </c>
      <c r="G5" s="6" t="s">
        <v>1</v>
      </c>
      <c r="H5" s="6">
        <v>4.1099999999999998E-2</v>
      </c>
      <c r="I5" s="15">
        <v>681</v>
      </c>
      <c r="J5" s="15" t="s">
        <v>1</v>
      </c>
      <c r="K5" s="15">
        <v>7.5800000000000006E-2</v>
      </c>
      <c r="L5" s="16">
        <v>96</v>
      </c>
      <c r="M5" s="16" t="s">
        <v>1</v>
      </c>
      <c r="N5" s="16">
        <v>0.29730000000000001</v>
      </c>
      <c r="O5" s="9">
        <v>29</v>
      </c>
      <c r="P5" s="9" t="s">
        <v>1</v>
      </c>
      <c r="Q5" s="9">
        <v>0</v>
      </c>
    </row>
    <row r="6" spans="1:17" x14ac:dyDescent="0.25">
      <c r="A6" s="63">
        <v>4</v>
      </c>
      <c r="B6" s="62">
        <v>1983</v>
      </c>
      <c r="C6" s="64">
        <v>199</v>
      </c>
      <c r="D6" s="64" t="s">
        <v>1</v>
      </c>
      <c r="E6" s="65">
        <v>3.1099999999999999E-2</v>
      </c>
      <c r="F6" s="6">
        <v>95</v>
      </c>
      <c r="G6" s="6" t="s">
        <v>1</v>
      </c>
      <c r="H6" s="6">
        <v>0.25</v>
      </c>
      <c r="I6" s="15">
        <v>701</v>
      </c>
      <c r="J6" s="15" t="s">
        <v>1</v>
      </c>
      <c r="K6" s="15">
        <v>2.9399999999999999E-2</v>
      </c>
      <c r="L6" s="16">
        <v>98</v>
      </c>
      <c r="M6" s="16" t="s">
        <v>1</v>
      </c>
      <c r="N6" s="16">
        <v>2.0799999999999999E-2</v>
      </c>
      <c r="O6" s="9">
        <v>19</v>
      </c>
      <c r="P6" s="9" t="s">
        <v>1</v>
      </c>
      <c r="Q6" s="9">
        <v>-0.3448</v>
      </c>
    </row>
    <row r="7" spans="1:17" x14ac:dyDescent="0.25">
      <c r="A7" s="63">
        <v>5</v>
      </c>
      <c r="B7" s="62">
        <v>1984</v>
      </c>
      <c r="C7" s="64">
        <v>235</v>
      </c>
      <c r="D7" s="64" t="s">
        <v>1</v>
      </c>
      <c r="E7" s="65">
        <v>0.18090000000000001</v>
      </c>
      <c r="F7" s="6">
        <v>149</v>
      </c>
      <c r="G7" s="6" t="s">
        <v>1</v>
      </c>
      <c r="H7" s="6">
        <v>0.56840000000000002</v>
      </c>
      <c r="I7" s="15">
        <v>689</v>
      </c>
      <c r="J7" s="15" t="s">
        <v>1</v>
      </c>
      <c r="K7" s="15">
        <v>-1.7100000000000001E-2</v>
      </c>
      <c r="L7" s="16">
        <v>127</v>
      </c>
      <c r="M7" s="16" t="s">
        <v>1</v>
      </c>
      <c r="N7" s="16">
        <v>0.2959</v>
      </c>
      <c r="O7" s="9">
        <v>24</v>
      </c>
      <c r="P7" s="9" t="s">
        <v>1</v>
      </c>
      <c r="Q7" s="9">
        <v>0.26319999999999999</v>
      </c>
    </row>
    <row r="8" spans="1:17" x14ac:dyDescent="0.25">
      <c r="A8" s="63">
        <v>6</v>
      </c>
      <c r="B8" s="62">
        <v>1985</v>
      </c>
      <c r="C8" s="64">
        <v>375</v>
      </c>
      <c r="D8" s="64" t="s">
        <v>1</v>
      </c>
      <c r="E8" s="65">
        <v>0.59570000000000001</v>
      </c>
      <c r="F8" s="6">
        <v>160</v>
      </c>
      <c r="G8" s="6" t="s">
        <v>1</v>
      </c>
      <c r="H8" s="6">
        <v>7.3800000000000004E-2</v>
      </c>
      <c r="I8" s="15">
        <v>710</v>
      </c>
      <c r="J8" s="15" t="s">
        <v>1</v>
      </c>
      <c r="K8" s="15">
        <v>3.0499999999999999E-2</v>
      </c>
      <c r="L8" s="16">
        <v>146</v>
      </c>
      <c r="M8" s="16" t="s">
        <v>1</v>
      </c>
      <c r="N8" s="16">
        <v>0.14960000000000001</v>
      </c>
      <c r="O8" s="9">
        <v>35</v>
      </c>
      <c r="P8" s="9" t="s">
        <v>1</v>
      </c>
      <c r="Q8" s="9">
        <v>0.45829999999999999</v>
      </c>
    </row>
    <row r="9" spans="1:17" x14ac:dyDescent="0.25">
      <c r="A9" s="63">
        <v>7</v>
      </c>
      <c r="B9" s="62">
        <v>1986</v>
      </c>
      <c r="C9" s="64">
        <v>546</v>
      </c>
      <c r="D9" s="64" t="s">
        <v>1</v>
      </c>
      <c r="E9" s="65">
        <v>0.45600000000000002</v>
      </c>
      <c r="F9" s="6">
        <v>142</v>
      </c>
      <c r="G9" s="6" t="s">
        <v>1</v>
      </c>
      <c r="H9" s="6">
        <v>-0.1125</v>
      </c>
      <c r="I9" s="15">
        <v>709</v>
      </c>
      <c r="J9" s="15" t="s">
        <v>1</v>
      </c>
      <c r="K9" s="15">
        <v>-1.4E-3</v>
      </c>
      <c r="L9" s="16">
        <v>152</v>
      </c>
      <c r="M9" s="16" t="s">
        <v>1</v>
      </c>
      <c r="N9" s="16">
        <v>4.1099999999999998E-2</v>
      </c>
      <c r="O9" s="9">
        <v>39</v>
      </c>
      <c r="P9" s="9" t="s">
        <v>1</v>
      </c>
      <c r="Q9" s="9">
        <v>0.1143</v>
      </c>
    </row>
    <row r="10" spans="1:17" x14ac:dyDescent="0.25">
      <c r="A10" s="63">
        <v>8</v>
      </c>
      <c r="B10" s="62">
        <v>1987</v>
      </c>
      <c r="C10" s="64">
        <v>710</v>
      </c>
      <c r="D10" s="64" t="s">
        <v>1</v>
      </c>
      <c r="E10" s="65">
        <v>0.3004</v>
      </c>
      <c r="F10" s="6">
        <v>132</v>
      </c>
      <c r="G10" s="6" t="s">
        <v>1</v>
      </c>
      <c r="H10" s="6">
        <v>-7.0400000000000004E-2</v>
      </c>
      <c r="I10" s="15">
        <v>698</v>
      </c>
      <c r="J10" s="15" t="s">
        <v>1</v>
      </c>
      <c r="K10" s="15">
        <v>-1.55E-2</v>
      </c>
      <c r="L10" s="16">
        <v>157</v>
      </c>
      <c r="M10" s="16" t="s">
        <v>1</v>
      </c>
      <c r="N10" s="16">
        <v>3.2899999999999999E-2</v>
      </c>
      <c r="O10" s="9">
        <v>53</v>
      </c>
      <c r="P10" s="9" t="s">
        <v>1</v>
      </c>
      <c r="Q10" s="9">
        <v>0.35899999999999999</v>
      </c>
    </row>
    <row r="11" spans="1:17" x14ac:dyDescent="0.25">
      <c r="A11" s="63">
        <v>9</v>
      </c>
      <c r="B11" s="62">
        <v>1988</v>
      </c>
      <c r="C11" s="64">
        <v>656</v>
      </c>
      <c r="D11" s="64" t="s">
        <v>1</v>
      </c>
      <c r="E11" s="65">
        <v>-7.6100000000000001E-2</v>
      </c>
      <c r="F11" s="6">
        <v>247</v>
      </c>
      <c r="G11" s="6" t="s">
        <v>1</v>
      </c>
      <c r="H11" s="6">
        <v>0.87119999999999997</v>
      </c>
      <c r="I11" s="15">
        <v>642</v>
      </c>
      <c r="J11" s="15" t="s">
        <v>1</v>
      </c>
      <c r="K11" s="15">
        <v>-8.0199999999999994E-2</v>
      </c>
      <c r="L11" s="16">
        <v>160</v>
      </c>
      <c r="M11" s="16" t="s">
        <v>1</v>
      </c>
      <c r="N11" s="16">
        <v>1.9099999999999999E-2</v>
      </c>
      <c r="O11" s="9">
        <v>50</v>
      </c>
      <c r="P11" s="9" t="s">
        <v>1</v>
      </c>
      <c r="Q11" s="9">
        <v>-5.6599999999999998E-2</v>
      </c>
    </row>
    <row r="12" spans="1:17" x14ac:dyDescent="0.25">
      <c r="A12" s="63">
        <v>10</v>
      </c>
      <c r="B12" s="62">
        <v>1989</v>
      </c>
      <c r="C12" s="64">
        <v>554</v>
      </c>
      <c r="D12" s="64" t="s">
        <v>1</v>
      </c>
      <c r="E12" s="65">
        <v>-0.1555</v>
      </c>
      <c r="F12" s="6">
        <v>290</v>
      </c>
      <c r="G12" s="6" t="s">
        <v>1</v>
      </c>
      <c r="H12" s="6">
        <v>0.1741</v>
      </c>
      <c r="I12" s="15">
        <v>679</v>
      </c>
      <c r="J12" s="15" t="s">
        <v>1</v>
      </c>
      <c r="K12" s="15">
        <v>5.7599999999999998E-2</v>
      </c>
      <c r="L12" s="16">
        <v>140</v>
      </c>
      <c r="M12" s="16" t="s">
        <v>1</v>
      </c>
      <c r="N12" s="16">
        <v>-0.125</v>
      </c>
      <c r="O12" s="9">
        <v>65</v>
      </c>
      <c r="P12" s="9" t="s">
        <v>1</v>
      </c>
      <c r="Q12" s="9">
        <v>0.3</v>
      </c>
    </row>
    <row r="13" spans="1:17" x14ac:dyDescent="0.25">
      <c r="A13" s="63">
        <v>11</v>
      </c>
      <c r="B13" s="62">
        <v>1990</v>
      </c>
      <c r="C13" s="64">
        <v>599</v>
      </c>
      <c r="D13" s="64" t="s">
        <v>1</v>
      </c>
      <c r="E13" s="65">
        <v>8.1199999999999994E-2</v>
      </c>
      <c r="F13" s="6">
        <v>425</v>
      </c>
      <c r="G13" s="6" t="s">
        <v>1</v>
      </c>
      <c r="H13" s="6">
        <v>0.46550000000000002</v>
      </c>
      <c r="I13" s="15">
        <v>619</v>
      </c>
      <c r="J13" s="15" t="s">
        <v>1</v>
      </c>
      <c r="K13" s="15">
        <v>-8.8400000000000006E-2</v>
      </c>
      <c r="L13" s="16">
        <v>137</v>
      </c>
      <c r="M13" s="16" t="s">
        <v>1</v>
      </c>
      <c r="N13" s="16">
        <v>-2.1399999999999999E-2</v>
      </c>
      <c r="O13" s="9">
        <v>78</v>
      </c>
      <c r="P13" s="9" t="s">
        <v>1</v>
      </c>
      <c r="Q13" s="9">
        <v>0.2</v>
      </c>
    </row>
    <row r="14" spans="1:17" x14ac:dyDescent="0.25">
      <c r="A14" s="63">
        <v>12</v>
      </c>
      <c r="B14" s="62">
        <v>1991</v>
      </c>
      <c r="C14" s="64">
        <v>520</v>
      </c>
      <c r="D14" s="64" t="s">
        <v>1</v>
      </c>
      <c r="E14" s="65">
        <v>-0.13189999999999999</v>
      </c>
      <c r="F14" s="6">
        <v>400</v>
      </c>
      <c r="G14" s="6" t="s">
        <v>1</v>
      </c>
      <c r="H14" s="6">
        <v>-5.8799999999999998E-2</v>
      </c>
      <c r="I14" s="15">
        <v>662</v>
      </c>
      <c r="J14" s="15" t="s">
        <v>1</v>
      </c>
      <c r="K14" s="15">
        <v>6.9500000000000006E-2</v>
      </c>
      <c r="L14" s="16">
        <v>200</v>
      </c>
      <c r="M14" s="16" t="s">
        <v>1</v>
      </c>
      <c r="N14" s="16">
        <v>0.45989999999999998</v>
      </c>
      <c r="O14" s="9">
        <v>78</v>
      </c>
      <c r="P14" s="9" t="s">
        <v>1</v>
      </c>
      <c r="Q14" s="9">
        <v>0</v>
      </c>
    </row>
    <row r="15" spans="1:17" x14ac:dyDescent="0.25">
      <c r="A15" s="63">
        <v>13</v>
      </c>
      <c r="B15" s="62">
        <v>1992</v>
      </c>
      <c r="C15" s="64">
        <v>673</v>
      </c>
      <c r="D15" s="64" t="s">
        <v>1</v>
      </c>
      <c r="E15" s="65">
        <v>0.29420000000000002</v>
      </c>
      <c r="F15" s="6">
        <v>500</v>
      </c>
      <c r="G15" s="6" t="s">
        <v>1</v>
      </c>
      <c r="H15" s="6">
        <v>0.25</v>
      </c>
      <c r="I15" s="15">
        <v>689</v>
      </c>
      <c r="J15" s="15" t="s">
        <v>1</v>
      </c>
      <c r="K15" s="15">
        <v>4.0800000000000003E-2</v>
      </c>
      <c r="L15" s="16">
        <v>159</v>
      </c>
      <c r="M15" s="16" t="s">
        <v>1</v>
      </c>
      <c r="N15" s="16">
        <v>-0.20499999999999999</v>
      </c>
      <c r="O15" s="9">
        <v>77</v>
      </c>
      <c r="P15" s="9" t="s">
        <v>1</v>
      </c>
      <c r="Q15" s="9">
        <v>-1.2800000000000001E-2</v>
      </c>
    </row>
    <row r="16" spans="1:17" x14ac:dyDescent="0.25">
      <c r="A16" s="63">
        <v>14</v>
      </c>
      <c r="B16" s="62">
        <v>1993</v>
      </c>
      <c r="C16" s="64">
        <v>1141</v>
      </c>
      <c r="D16" s="64" t="s">
        <v>1</v>
      </c>
      <c r="E16" s="65">
        <v>0.69540000000000002</v>
      </c>
      <c r="F16" s="6">
        <v>650</v>
      </c>
      <c r="G16" s="6" t="s">
        <v>1</v>
      </c>
      <c r="H16" s="6">
        <v>0.3</v>
      </c>
      <c r="I16" s="15">
        <v>664</v>
      </c>
      <c r="J16" s="15" t="s">
        <v>1</v>
      </c>
      <c r="K16" s="15">
        <v>-3.6299999999999999E-2</v>
      </c>
      <c r="L16" s="16">
        <v>170</v>
      </c>
      <c r="M16" s="16" t="s">
        <v>1</v>
      </c>
      <c r="N16" s="16">
        <v>6.9199999999999998E-2</v>
      </c>
      <c r="O16" s="9">
        <v>67</v>
      </c>
      <c r="P16" s="9" t="s">
        <v>1</v>
      </c>
      <c r="Q16" s="9">
        <v>-0.12989999999999999</v>
      </c>
    </row>
    <row r="17" spans="1:17" x14ac:dyDescent="0.25">
      <c r="A17" s="63">
        <v>15</v>
      </c>
      <c r="B17" s="62">
        <v>1994</v>
      </c>
      <c r="C17" s="64">
        <v>1289</v>
      </c>
      <c r="D17" s="64" t="s">
        <v>1</v>
      </c>
      <c r="E17" s="65">
        <v>0.12970000000000001</v>
      </c>
      <c r="F17" s="6">
        <v>495</v>
      </c>
      <c r="G17" s="6" t="s">
        <v>1</v>
      </c>
      <c r="H17" s="6">
        <v>-0.23849999999999999</v>
      </c>
      <c r="I17" s="15">
        <v>670</v>
      </c>
      <c r="J17" s="15" t="s">
        <v>1</v>
      </c>
      <c r="K17" s="15">
        <v>8.9999999999999993E-3</v>
      </c>
      <c r="L17" s="16">
        <v>204</v>
      </c>
      <c r="M17" s="16" t="s">
        <v>1</v>
      </c>
      <c r="N17" s="16">
        <v>0.2</v>
      </c>
      <c r="O17" s="9">
        <v>92</v>
      </c>
      <c r="P17" s="9" t="s">
        <v>1</v>
      </c>
      <c r="Q17" s="9">
        <v>0.37309999999999999</v>
      </c>
    </row>
    <row r="18" spans="1:17" x14ac:dyDescent="0.25">
      <c r="A18" s="63">
        <v>16</v>
      </c>
      <c r="B18" s="62">
        <v>1995</v>
      </c>
      <c r="C18" s="64">
        <v>1150</v>
      </c>
      <c r="D18" s="64" t="s">
        <v>1</v>
      </c>
      <c r="E18" s="65">
        <v>-0.10780000000000001</v>
      </c>
      <c r="F18" s="6">
        <v>712</v>
      </c>
      <c r="G18" s="6" t="s">
        <v>1</v>
      </c>
      <c r="H18" s="6">
        <v>0.43840000000000001</v>
      </c>
      <c r="I18" s="15">
        <v>666</v>
      </c>
      <c r="J18" s="15" t="s">
        <v>1</v>
      </c>
      <c r="K18" s="15">
        <v>-6.0000000000000001E-3</v>
      </c>
      <c r="L18" s="16">
        <v>211</v>
      </c>
      <c r="M18" s="16" t="s">
        <v>1</v>
      </c>
      <c r="N18" s="16">
        <v>3.4299999999999997E-2</v>
      </c>
      <c r="O18" s="9">
        <v>97</v>
      </c>
      <c r="P18" s="9" t="s">
        <v>1</v>
      </c>
      <c r="Q18" s="9">
        <v>5.4300000000000001E-2</v>
      </c>
    </row>
    <row r="19" spans="1:17" x14ac:dyDescent="0.25">
      <c r="A19" s="63">
        <v>17</v>
      </c>
      <c r="B19" s="62">
        <v>1996</v>
      </c>
      <c r="C19" s="64">
        <v>1203</v>
      </c>
      <c r="D19" s="64" t="s">
        <v>1</v>
      </c>
      <c r="E19" s="65">
        <v>4.6100000000000002E-2</v>
      </c>
      <c r="F19" s="6">
        <v>657</v>
      </c>
      <c r="G19" s="6" t="s">
        <v>1</v>
      </c>
      <c r="H19" s="6">
        <v>-7.7200000000000005E-2</v>
      </c>
      <c r="I19" s="15">
        <v>690</v>
      </c>
      <c r="J19" s="15" t="s">
        <v>1</v>
      </c>
      <c r="K19" s="15">
        <v>3.5999999999999997E-2</v>
      </c>
      <c r="L19" s="16">
        <v>245</v>
      </c>
      <c r="M19" s="16" t="s">
        <v>1</v>
      </c>
      <c r="N19" s="16">
        <v>0.16109999999999999</v>
      </c>
      <c r="O19" s="9">
        <v>109</v>
      </c>
      <c r="P19" s="9" t="s">
        <v>1</v>
      </c>
      <c r="Q19" s="9">
        <v>0.1237</v>
      </c>
    </row>
    <row r="20" spans="1:17" x14ac:dyDescent="0.25">
      <c r="A20" s="63">
        <v>18</v>
      </c>
      <c r="B20" s="62">
        <v>1997</v>
      </c>
      <c r="C20" s="64">
        <v>1383</v>
      </c>
      <c r="D20" s="64" t="s">
        <v>1</v>
      </c>
      <c r="E20" s="65">
        <v>0.14960000000000001</v>
      </c>
      <c r="F20" s="6">
        <v>859</v>
      </c>
      <c r="G20" s="6" t="s">
        <v>1</v>
      </c>
      <c r="H20" s="6">
        <v>0.3075</v>
      </c>
      <c r="I20" s="15">
        <v>670</v>
      </c>
      <c r="J20" s="15" t="s">
        <v>1</v>
      </c>
      <c r="K20" s="15">
        <v>-2.9000000000000001E-2</v>
      </c>
      <c r="L20" s="16">
        <v>204</v>
      </c>
      <c r="M20" s="16" t="s">
        <v>1</v>
      </c>
      <c r="N20" s="16">
        <v>-0.1673</v>
      </c>
      <c r="O20" s="9">
        <v>63</v>
      </c>
      <c r="P20" s="9" t="s">
        <v>1</v>
      </c>
      <c r="Q20" s="9">
        <v>-0.42199999999999999</v>
      </c>
    </row>
    <row r="21" spans="1:17" x14ac:dyDescent="0.25">
      <c r="A21" s="63">
        <v>19</v>
      </c>
      <c r="B21" s="62">
        <v>1998</v>
      </c>
      <c r="C21" s="64">
        <v>2050</v>
      </c>
      <c r="D21" s="64" t="s">
        <v>1</v>
      </c>
      <c r="E21" s="65">
        <v>0.48230000000000001</v>
      </c>
      <c r="F21" s="6">
        <v>972</v>
      </c>
      <c r="G21" s="6" t="s">
        <v>1</v>
      </c>
      <c r="H21" s="6">
        <v>0.13150000000000001</v>
      </c>
      <c r="I21" s="15">
        <v>667</v>
      </c>
      <c r="J21" s="15" t="s">
        <v>1</v>
      </c>
      <c r="K21" s="15">
        <v>-4.4999999999999997E-3</v>
      </c>
      <c r="L21" s="16">
        <v>204</v>
      </c>
      <c r="M21" s="16" t="s">
        <v>1</v>
      </c>
      <c r="N21" s="16">
        <v>0</v>
      </c>
      <c r="O21" s="9">
        <v>60</v>
      </c>
      <c r="P21" s="9" t="s">
        <v>1</v>
      </c>
      <c r="Q21" s="9">
        <v>-4.7600000000000003E-2</v>
      </c>
    </row>
    <row r="22" spans="1:17" x14ac:dyDescent="0.25">
      <c r="A22" s="63">
        <v>20</v>
      </c>
      <c r="B22" s="62">
        <v>1999</v>
      </c>
      <c r="C22" s="64">
        <v>2480</v>
      </c>
      <c r="D22" s="64" t="s">
        <v>1</v>
      </c>
      <c r="E22" s="65">
        <v>0.20979999999999999</v>
      </c>
      <c r="F22" s="6">
        <v>792</v>
      </c>
      <c r="G22" s="6" t="s">
        <v>1</v>
      </c>
      <c r="H22" s="6">
        <v>-0.1852</v>
      </c>
      <c r="I22" s="15">
        <v>680</v>
      </c>
      <c r="J22" s="15" t="s">
        <v>1</v>
      </c>
      <c r="K22" s="15">
        <v>1.95E-2</v>
      </c>
      <c r="L22" s="16">
        <v>222</v>
      </c>
      <c r="M22" s="16" t="s">
        <v>1</v>
      </c>
      <c r="N22" s="16">
        <v>8.8200000000000001E-2</v>
      </c>
      <c r="O22" s="9">
        <v>54</v>
      </c>
      <c r="P22" s="9" t="s">
        <v>1</v>
      </c>
      <c r="Q22" s="9">
        <v>-0.1</v>
      </c>
    </row>
    <row r="23" spans="1:17" x14ac:dyDescent="0.25">
      <c r="A23" s="63">
        <v>21</v>
      </c>
      <c r="B23" s="62">
        <v>2000</v>
      </c>
      <c r="C23" s="64">
        <v>3240</v>
      </c>
      <c r="D23" s="64" t="s">
        <v>1</v>
      </c>
      <c r="E23" s="65">
        <v>0.30649999999999999</v>
      </c>
      <c r="F23" s="6">
        <v>810</v>
      </c>
      <c r="G23" s="6" t="s">
        <v>1</v>
      </c>
      <c r="H23" s="6">
        <v>2.2700000000000001E-2</v>
      </c>
      <c r="I23" s="15">
        <v>687</v>
      </c>
      <c r="J23" s="15" t="s">
        <v>1</v>
      </c>
      <c r="K23" s="15">
        <v>1.03E-2</v>
      </c>
      <c r="L23" s="16">
        <v>194</v>
      </c>
      <c r="M23" s="16" t="s">
        <v>1</v>
      </c>
      <c r="N23" s="16">
        <v>-0.12609999999999999</v>
      </c>
      <c r="O23" s="9">
        <v>77</v>
      </c>
      <c r="P23" s="9" t="s">
        <v>1</v>
      </c>
      <c r="Q23" s="9">
        <v>0.4259</v>
      </c>
    </row>
    <row r="24" spans="1:17" x14ac:dyDescent="0.25">
      <c r="A24" s="63">
        <v>22</v>
      </c>
      <c r="B24" s="62">
        <v>2001</v>
      </c>
      <c r="C24" s="64">
        <v>3575</v>
      </c>
      <c r="D24" s="64" t="s">
        <v>1</v>
      </c>
      <c r="E24" s="65">
        <v>0.10340000000000001</v>
      </c>
      <c r="F24" s="6">
        <v>792</v>
      </c>
      <c r="G24" s="6" t="s">
        <v>1</v>
      </c>
      <c r="H24" s="6">
        <v>-2.2200000000000001E-2</v>
      </c>
      <c r="I24" s="15">
        <v>707</v>
      </c>
      <c r="J24" s="15" t="s">
        <v>1</v>
      </c>
      <c r="K24" s="15">
        <v>2.9100000000000001E-2</v>
      </c>
      <c r="L24" s="16">
        <v>203</v>
      </c>
      <c r="M24" s="16" t="s">
        <v>1</v>
      </c>
      <c r="N24" s="16">
        <v>4.6399999999999997E-2</v>
      </c>
      <c r="O24" s="9">
        <v>91</v>
      </c>
      <c r="P24" s="9" t="s">
        <v>1</v>
      </c>
      <c r="Q24" s="9">
        <v>0.18179999999999999</v>
      </c>
    </row>
    <row r="25" spans="1:17" x14ac:dyDescent="0.25">
      <c r="A25" s="63">
        <v>23</v>
      </c>
      <c r="B25" s="62">
        <v>2002</v>
      </c>
      <c r="C25" s="64">
        <v>4730</v>
      </c>
      <c r="D25" s="64" t="s">
        <v>1</v>
      </c>
      <c r="E25" s="65">
        <v>0.3231</v>
      </c>
      <c r="F25" s="6">
        <v>612</v>
      </c>
      <c r="G25" s="6" t="s">
        <v>1</v>
      </c>
      <c r="H25" s="6">
        <v>-0.2273</v>
      </c>
      <c r="I25" s="15">
        <v>765</v>
      </c>
      <c r="J25" s="15" t="s">
        <v>1</v>
      </c>
      <c r="K25" s="15">
        <v>8.2000000000000003E-2</v>
      </c>
      <c r="L25" s="16">
        <v>215</v>
      </c>
      <c r="M25" s="16" t="s">
        <v>1</v>
      </c>
      <c r="N25" s="16">
        <v>5.91E-2</v>
      </c>
      <c r="O25" s="9">
        <v>71</v>
      </c>
      <c r="P25" s="9" t="s">
        <v>1</v>
      </c>
      <c r="Q25" s="9">
        <v>-0.2198</v>
      </c>
    </row>
    <row r="26" spans="1:17" x14ac:dyDescent="0.25">
      <c r="A26" s="63">
        <v>24</v>
      </c>
      <c r="B26" s="62">
        <v>2003</v>
      </c>
      <c r="C26" s="64">
        <v>4535</v>
      </c>
      <c r="D26" s="64" t="s">
        <v>1</v>
      </c>
      <c r="E26" s="65">
        <v>-4.1200000000000001E-2</v>
      </c>
      <c r="F26" s="6">
        <v>1008</v>
      </c>
      <c r="G26" s="6" t="s">
        <v>1</v>
      </c>
      <c r="H26" s="6">
        <v>0.64710000000000001</v>
      </c>
      <c r="I26" s="15">
        <v>645</v>
      </c>
      <c r="J26" s="15" t="s">
        <v>1</v>
      </c>
      <c r="K26" s="15">
        <v>-0.15690000000000001</v>
      </c>
      <c r="L26" s="16">
        <v>193</v>
      </c>
      <c r="M26" s="16" t="s">
        <v>1</v>
      </c>
      <c r="N26" s="16">
        <v>-0.1023</v>
      </c>
      <c r="O26" s="9">
        <v>71</v>
      </c>
      <c r="P26" s="9" t="s">
        <v>1</v>
      </c>
      <c r="Q26" s="9">
        <v>0</v>
      </c>
    </row>
    <row r="27" spans="1:17" x14ac:dyDescent="0.25">
      <c r="A27" s="63">
        <v>25</v>
      </c>
      <c r="B27" s="62">
        <v>2004</v>
      </c>
      <c r="C27" s="64">
        <v>5421</v>
      </c>
      <c r="D27" s="64" t="s">
        <v>1</v>
      </c>
      <c r="E27" s="65">
        <v>0.19539999999999999</v>
      </c>
      <c r="F27" s="6">
        <v>900</v>
      </c>
      <c r="G27" s="6" t="s">
        <v>1</v>
      </c>
      <c r="H27" s="6">
        <v>-0.1071</v>
      </c>
      <c r="I27" s="15">
        <v>579</v>
      </c>
      <c r="J27" s="15" t="s">
        <v>1</v>
      </c>
      <c r="K27" s="15">
        <v>-0.1023</v>
      </c>
      <c r="L27" s="16">
        <v>173</v>
      </c>
      <c r="M27" s="16" t="s">
        <v>1</v>
      </c>
      <c r="N27" s="16">
        <v>-0.1036</v>
      </c>
      <c r="O27" s="9">
        <v>71</v>
      </c>
      <c r="P27" s="9" t="s">
        <v>1</v>
      </c>
      <c r="Q27" s="9">
        <v>0</v>
      </c>
    </row>
    <row r="28" spans="1:17" x14ac:dyDescent="0.25">
      <c r="A28" s="63">
        <v>26</v>
      </c>
      <c r="B28" s="62">
        <v>2005</v>
      </c>
      <c r="C28" s="64">
        <v>6149</v>
      </c>
      <c r="D28" s="64" t="s">
        <v>1</v>
      </c>
      <c r="E28" s="65">
        <v>0.1343</v>
      </c>
      <c r="F28" s="6">
        <v>1278</v>
      </c>
      <c r="G28" s="6" t="s">
        <v>1</v>
      </c>
      <c r="H28" s="6">
        <v>0.42</v>
      </c>
      <c r="I28" s="15">
        <v>579</v>
      </c>
      <c r="J28" s="15" t="s">
        <v>1</v>
      </c>
      <c r="K28" s="15">
        <v>0</v>
      </c>
      <c r="L28" s="16">
        <v>161</v>
      </c>
      <c r="M28" s="16" t="s">
        <v>1</v>
      </c>
      <c r="N28" s="16">
        <v>-6.9400000000000003E-2</v>
      </c>
      <c r="O28" s="9">
        <v>72</v>
      </c>
      <c r="P28" s="9" t="s">
        <v>1</v>
      </c>
      <c r="Q28" s="9">
        <v>1.41E-2</v>
      </c>
    </row>
    <row r="29" spans="1:17" x14ac:dyDescent="0.25">
      <c r="A29" s="63">
        <v>27</v>
      </c>
      <c r="B29" s="62">
        <v>2006</v>
      </c>
      <c r="C29" s="64">
        <v>6410</v>
      </c>
      <c r="D29" s="64" t="s">
        <v>1</v>
      </c>
      <c r="E29" s="65">
        <v>4.24E-2</v>
      </c>
      <c r="F29" s="6">
        <v>1170</v>
      </c>
      <c r="G29" s="6" t="s">
        <v>1</v>
      </c>
      <c r="H29" s="6">
        <v>-8.4500000000000006E-2</v>
      </c>
      <c r="I29" s="15">
        <v>576</v>
      </c>
      <c r="J29" s="15" t="s">
        <v>1</v>
      </c>
      <c r="K29" s="15">
        <v>-5.1999999999999998E-3</v>
      </c>
      <c r="L29" s="16">
        <v>171</v>
      </c>
      <c r="M29" s="16" t="s">
        <v>1</v>
      </c>
      <c r="N29" s="16">
        <v>6.2100000000000002E-2</v>
      </c>
      <c r="O29" s="9">
        <v>66</v>
      </c>
      <c r="P29" s="9" t="s">
        <v>1</v>
      </c>
      <c r="Q29" s="9">
        <v>-8.3299999999999999E-2</v>
      </c>
    </row>
    <row r="30" spans="1:17" x14ac:dyDescent="0.25">
      <c r="A30" s="63">
        <v>28</v>
      </c>
      <c r="B30" s="62">
        <v>2007</v>
      </c>
      <c r="C30" s="64">
        <v>7045</v>
      </c>
      <c r="D30" s="64" t="s">
        <v>1</v>
      </c>
      <c r="E30" s="65">
        <v>9.9099999999999994E-2</v>
      </c>
      <c r="F30" s="6">
        <v>1494</v>
      </c>
      <c r="G30" s="6" t="s">
        <v>1</v>
      </c>
      <c r="H30" s="6">
        <v>0.27689999999999998</v>
      </c>
      <c r="I30" s="15">
        <v>563</v>
      </c>
      <c r="J30" s="15" t="s">
        <v>1</v>
      </c>
      <c r="K30" s="15">
        <v>-2.2599999999999999E-2</v>
      </c>
      <c r="L30" s="16">
        <v>168</v>
      </c>
      <c r="M30" s="16" t="s">
        <v>1</v>
      </c>
      <c r="N30" s="16">
        <v>-1.7500000000000002E-2</v>
      </c>
      <c r="O30" s="9">
        <v>58</v>
      </c>
      <c r="P30" s="9" t="s">
        <v>1</v>
      </c>
      <c r="Q30" s="9">
        <v>-0.1212</v>
      </c>
    </row>
    <row r="31" spans="1:17" x14ac:dyDescent="0.25">
      <c r="A31" s="63">
        <v>29</v>
      </c>
      <c r="B31" s="62">
        <v>2008</v>
      </c>
      <c r="C31" s="64">
        <v>7365</v>
      </c>
      <c r="D31" s="64" t="s">
        <v>1</v>
      </c>
      <c r="E31" s="65">
        <v>4.5400000000000003E-2</v>
      </c>
      <c r="F31" s="6">
        <v>1458</v>
      </c>
      <c r="G31" s="6" t="s">
        <v>1</v>
      </c>
      <c r="H31" s="6">
        <v>-2.41E-2</v>
      </c>
      <c r="I31" s="15">
        <v>479</v>
      </c>
      <c r="J31" s="15" t="s">
        <v>1</v>
      </c>
      <c r="K31" s="15">
        <v>-0.1492</v>
      </c>
      <c r="L31" s="16">
        <v>163</v>
      </c>
      <c r="M31" s="16" t="s">
        <v>1</v>
      </c>
      <c r="N31" s="16">
        <v>-2.98E-2</v>
      </c>
      <c r="O31" s="9">
        <v>65</v>
      </c>
      <c r="P31" s="9" t="s">
        <v>1</v>
      </c>
      <c r="Q31" s="9">
        <v>0.1207</v>
      </c>
    </row>
    <row r="32" spans="1:17" x14ac:dyDescent="0.25">
      <c r="A32" s="63">
        <v>30</v>
      </c>
      <c r="B32" s="62">
        <v>2009</v>
      </c>
      <c r="C32" s="64">
        <v>8781</v>
      </c>
      <c r="D32" s="64" t="s">
        <v>1</v>
      </c>
      <c r="E32" s="65">
        <v>0.1923</v>
      </c>
      <c r="F32" s="6">
        <v>1404</v>
      </c>
      <c r="G32" s="6" t="s">
        <v>1</v>
      </c>
      <c r="H32" s="6">
        <v>-3.6999999999999998E-2</v>
      </c>
      <c r="I32" s="15">
        <v>480</v>
      </c>
      <c r="J32" s="15" t="s">
        <v>1</v>
      </c>
      <c r="K32" s="15">
        <v>2.0999999999999999E-3</v>
      </c>
      <c r="L32" s="16">
        <v>162</v>
      </c>
      <c r="M32" s="16" t="s">
        <v>1</v>
      </c>
      <c r="N32" s="16">
        <v>-6.1000000000000004E-3</v>
      </c>
      <c r="O32" s="9">
        <v>68</v>
      </c>
      <c r="P32" s="9" t="s">
        <v>1</v>
      </c>
      <c r="Q32" s="9">
        <v>4.6199999999999998E-2</v>
      </c>
    </row>
    <row r="33" spans="1:46" x14ac:dyDescent="0.25">
      <c r="A33" s="63">
        <v>31</v>
      </c>
      <c r="B33" s="62">
        <v>2010</v>
      </c>
      <c r="C33" s="64">
        <v>9856</v>
      </c>
      <c r="D33" s="64" t="s">
        <v>1</v>
      </c>
      <c r="E33" s="65">
        <v>0.12239999999999999</v>
      </c>
      <c r="F33" s="6">
        <v>1683</v>
      </c>
      <c r="G33" s="6" t="s">
        <v>1</v>
      </c>
      <c r="H33" s="6">
        <v>0.19869999999999999</v>
      </c>
      <c r="I33" s="15">
        <v>417</v>
      </c>
      <c r="J33" s="15" t="s">
        <v>1</v>
      </c>
      <c r="K33" s="15">
        <v>-0.1313</v>
      </c>
      <c r="L33" s="16">
        <v>165</v>
      </c>
      <c r="M33" s="16" t="s">
        <v>1</v>
      </c>
      <c r="N33" s="16">
        <v>1.8499999999999999E-2</v>
      </c>
      <c r="O33" s="9">
        <v>72</v>
      </c>
      <c r="P33" s="9" t="s">
        <v>1</v>
      </c>
      <c r="Q33" s="9">
        <v>5.8799999999999998E-2</v>
      </c>
    </row>
    <row r="34" spans="1:46" x14ac:dyDescent="0.25">
      <c r="A34" s="63">
        <v>32</v>
      </c>
      <c r="B34" s="62">
        <v>2011</v>
      </c>
      <c r="C34" s="64">
        <v>10931</v>
      </c>
      <c r="D34" s="64" t="s">
        <v>1</v>
      </c>
      <c r="E34" s="65">
        <v>0.1091</v>
      </c>
      <c r="F34" s="6">
        <v>1854</v>
      </c>
      <c r="G34" s="6" t="s">
        <v>1</v>
      </c>
      <c r="H34" s="6">
        <v>0.1016</v>
      </c>
      <c r="I34" s="15">
        <v>380</v>
      </c>
      <c r="J34" s="15" t="s">
        <v>1</v>
      </c>
      <c r="K34" s="15">
        <v>-8.8700000000000001E-2</v>
      </c>
      <c r="L34" s="16">
        <v>146</v>
      </c>
      <c r="M34" s="16" t="s">
        <v>1</v>
      </c>
      <c r="N34" s="16">
        <v>-0.1152</v>
      </c>
      <c r="O34" s="9">
        <v>71</v>
      </c>
      <c r="P34" s="9" t="s">
        <v>1</v>
      </c>
      <c r="Q34" s="9">
        <v>-1.3899999999999999E-2</v>
      </c>
    </row>
    <row r="35" spans="1:46" x14ac:dyDescent="0.25">
      <c r="A35" s="63">
        <v>33</v>
      </c>
      <c r="B35" s="62">
        <v>2012</v>
      </c>
      <c r="C35" s="64">
        <v>11648</v>
      </c>
      <c r="D35" s="64" t="s">
        <v>1</v>
      </c>
      <c r="E35" s="65">
        <v>6.5600000000000006E-2</v>
      </c>
      <c r="F35" s="6">
        <v>1944</v>
      </c>
      <c r="G35" s="6" t="s">
        <v>1</v>
      </c>
      <c r="H35" s="6">
        <v>4.8500000000000001E-2</v>
      </c>
      <c r="I35" s="15">
        <v>379</v>
      </c>
      <c r="J35" s="15" t="s">
        <v>1</v>
      </c>
      <c r="K35" s="15">
        <v>-2.5999999999999999E-3</v>
      </c>
      <c r="L35" s="16">
        <v>144</v>
      </c>
      <c r="M35" s="16" t="s">
        <v>1</v>
      </c>
      <c r="N35" s="16">
        <v>-1.37E-2</v>
      </c>
      <c r="O35" s="9">
        <v>70</v>
      </c>
      <c r="P35" s="9" t="s">
        <v>1</v>
      </c>
      <c r="Q35" s="9">
        <v>-1.41E-2</v>
      </c>
    </row>
    <row r="36" spans="1:46" x14ac:dyDescent="0.25">
      <c r="A36" s="63">
        <v>34</v>
      </c>
      <c r="B36" s="62">
        <v>2013</v>
      </c>
      <c r="C36" s="64">
        <v>12347</v>
      </c>
      <c r="D36" s="64" t="s">
        <v>1</v>
      </c>
      <c r="E36" s="65">
        <v>0.06</v>
      </c>
      <c r="F36" s="6">
        <v>1566</v>
      </c>
      <c r="G36" s="6" t="s">
        <v>1</v>
      </c>
      <c r="H36" s="6">
        <v>-0.19439999999999999</v>
      </c>
      <c r="I36" s="15">
        <v>389</v>
      </c>
      <c r="J36" s="15" t="s">
        <v>1</v>
      </c>
      <c r="K36" s="15">
        <v>2.64E-2</v>
      </c>
      <c r="L36" s="16">
        <v>160</v>
      </c>
      <c r="M36" s="16" t="s">
        <v>1</v>
      </c>
      <c r="N36" s="16">
        <v>0.1111</v>
      </c>
      <c r="O36" s="9">
        <v>66</v>
      </c>
      <c r="P36" s="9" t="s">
        <v>1</v>
      </c>
      <c r="Q36" s="9">
        <v>-5.7099999999999998E-2</v>
      </c>
    </row>
    <row r="37" spans="1:46" x14ac:dyDescent="0.25">
      <c r="A37" s="63">
        <v>35</v>
      </c>
      <c r="B37" s="62">
        <v>2014</v>
      </c>
      <c r="C37" s="64">
        <v>13350</v>
      </c>
      <c r="D37" s="64" t="s">
        <v>1</v>
      </c>
      <c r="E37" s="65">
        <v>8.1199999999999994E-2</v>
      </c>
      <c r="F37" s="6">
        <v>1386</v>
      </c>
      <c r="G37" s="6" t="s">
        <v>1</v>
      </c>
      <c r="H37" s="6">
        <v>-0.1149</v>
      </c>
      <c r="I37" s="15">
        <v>414</v>
      </c>
      <c r="J37" s="15" t="s">
        <v>1</v>
      </c>
      <c r="K37" s="15">
        <v>6.4299999999999996E-2</v>
      </c>
      <c r="L37" s="16">
        <v>182</v>
      </c>
      <c r="M37" s="16" t="s">
        <v>1</v>
      </c>
      <c r="N37" s="16">
        <v>0.13750000000000001</v>
      </c>
      <c r="O37" s="9">
        <v>77</v>
      </c>
      <c r="P37" s="9" t="s">
        <v>1</v>
      </c>
      <c r="Q37" s="9">
        <v>0.16669999999999999</v>
      </c>
    </row>
    <row r="38" spans="1:46" x14ac:dyDescent="0.25">
      <c r="A38" s="63">
        <v>36</v>
      </c>
      <c r="B38" s="62">
        <v>2015</v>
      </c>
      <c r="C38" s="64">
        <v>14605</v>
      </c>
      <c r="D38" s="64" t="s">
        <v>1</v>
      </c>
      <c r="E38" s="65">
        <v>9.4E-2</v>
      </c>
      <c r="F38" s="6">
        <v>990</v>
      </c>
      <c r="G38" s="6" t="s">
        <v>1</v>
      </c>
      <c r="H38" s="6">
        <v>-0.28570000000000001</v>
      </c>
      <c r="I38" s="15">
        <v>445</v>
      </c>
      <c r="J38" s="15" t="s">
        <v>1</v>
      </c>
      <c r="K38" s="15">
        <v>7.4899999999999994E-2</v>
      </c>
      <c r="L38" s="16">
        <v>185</v>
      </c>
      <c r="M38" s="16" t="s">
        <v>1</v>
      </c>
      <c r="N38" s="16">
        <v>1.6500000000000001E-2</v>
      </c>
      <c r="O38" s="9">
        <v>105</v>
      </c>
      <c r="P38" s="9" t="s">
        <v>1</v>
      </c>
      <c r="Q38" s="9">
        <v>0.36359999999999998</v>
      </c>
    </row>
    <row r="39" spans="1:46" x14ac:dyDescent="0.25">
      <c r="A39" s="63">
        <v>37</v>
      </c>
      <c r="B39" s="62">
        <v>2016</v>
      </c>
      <c r="C39" s="64">
        <v>15770</v>
      </c>
      <c r="D39" s="64" t="s">
        <v>1</v>
      </c>
      <c r="E39" s="65">
        <v>7.9799999999999996E-2</v>
      </c>
      <c r="F39" s="6">
        <v>1620</v>
      </c>
      <c r="G39" s="6" t="s">
        <v>1</v>
      </c>
      <c r="H39" s="6">
        <v>0.63639999999999997</v>
      </c>
      <c r="I39" s="15">
        <v>466</v>
      </c>
      <c r="J39" s="15" t="s">
        <v>1</v>
      </c>
      <c r="K39" s="15">
        <v>4.7199999999999999E-2</v>
      </c>
      <c r="L39" s="16">
        <v>175</v>
      </c>
      <c r="M39" s="16" t="s">
        <v>1</v>
      </c>
      <c r="N39" s="16">
        <v>-5.4100000000000002E-2</v>
      </c>
      <c r="O39" s="9">
        <v>96</v>
      </c>
      <c r="P39" s="9" t="s">
        <v>1</v>
      </c>
      <c r="Q39" s="9">
        <v>-8.5699999999999998E-2</v>
      </c>
    </row>
    <row r="40" spans="1:46" x14ac:dyDescent="0.25">
      <c r="A40" s="63">
        <v>38</v>
      </c>
      <c r="B40" s="62">
        <v>2017</v>
      </c>
      <c r="C40" s="64">
        <v>16128</v>
      </c>
      <c r="D40" s="64" t="s">
        <v>1</v>
      </c>
      <c r="E40" s="65">
        <v>2.2700000000000001E-2</v>
      </c>
      <c r="F40" s="6">
        <v>1386</v>
      </c>
      <c r="G40" s="6" t="s">
        <v>1</v>
      </c>
      <c r="H40" s="6">
        <v>-0.1444</v>
      </c>
      <c r="I40" s="15">
        <v>468</v>
      </c>
      <c r="J40" s="15" t="s">
        <v>1</v>
      </c>
      <c r="K40" s="15">
        <v>4.3E-3</v>
      </c>
      <c r="L40" s="16">
        <v>177</v>
      </c>
      <c r="M40" s="16" t="s">
        <v>1</v>
      </c>
      <c r="N40" s="16">
        <v>1.14E-2</v>
      </c>
      <c r="O40" s="9">
        <v>87</v>
      </c>
      <c r="P40" s="9" t="s">
        <v>1</v>
      </c>
      <c r="Q40" s="9">
        <v>-9.3799999999999994E-2</v>
      </c>
    </row>
    <row r="41" spans="1:46" x14ac:dyDescent="0.25">
      <c r="A41" s="63">
        <v>39</v>
      </c>
      <c r="B41" s="62">
        <v>2018</v>
      </c>
      <c r="C41" s="64">
        <v>15232</v>
      </c>
      <c r="D41" s="64" t="s">
        <v>1</v>
      </c>
      <c r="E41" s="65">
        <v>-5.5599999999999997E-2</v>
      </c>
      <c r="F41" s="6">
        <v>1728</v>
      </c>
      <c r="G41" s="6" t="s">
        <v>1</v>
      </c>
      <c r="H41" s="6">
        <v>0.24679999999999999</v>
      </c>
      <c r="I41" s="15">
        <v>478</v>
      </c>
      <c r="J41" s="15" t="s">
        <v>1</v>
      </c>
      <c r="K41" s="15">
        <v>2.1399999999999999E-2</v>
      </c>
      <c r="L41" s="16">
        <v>176</v>
      </c>
      <c r="M41" s="16" t="s">
        <v>1</v>
      </c>
      <c r="N41" s="16">
        <v>-5.5999999999999999E-3</v>
      </c>
      <c r="O41" s="9">
        <v>93</v>
      </c>
      <c r="P41" s="9" t="s">
        <v>1</v>
      </c>
      <c r="Q41" s="9">
        <v>6.9000000000000006E-2</v>
      </c>
    </row>
    <row r="42" spans="1:46" x14ac:dyDescent="0.25">
      <c r="A42" s="63">
        <v>40</v>
      </c>
      <c r="B42" s="62">
        <v>2019</v>
      </c>
      <c r="C42" s="64">
        <v>16397</v>
      </c>
      <c r="D42" s="64" t="s">
        <v>1</v>
      </c>
      <c r="E42" s="65">
        <v>7.6499999999999999E-2</v>
      </c>
      <c r="F42" s="6">
        <v>1512</v>
      </c>
      <c r="G42" s="6" t="s">
        <v>1</v>
      </c>
      <c r="H42" s="6">
        <v>-0.125</v>
      </c>
      <c r="I42" s="15">
        <v>468</v>
      </c>
      <c r="J42" s="15" t="s">
        <v>1</v>
      </c>
      <c r="K42" s="15">
        <v>-2.0899999999999998E-2</v>
      </c>
      <c r="L42" s="16">
        <v>183</v>
      </c>
      <c r="M42" s="16" t="s">
        <v>1</v>
      </c>
      <c r="N42" s="16">
        <v>3.9800000000000002E-2</v>
      </c>
      <c r="O42" s="9">
        <v>94</v>
      </c>
      <c r="P42" s="9" t="s">
        <v>1</v>
      </c>
      <c r="Q42" s="9">
        <v>1.0800000000000001E-2</v>
      </c>
    </row>
    <row r="43" spans="1:46" x14ac:dyDescent="0.25">
      <c r="A43" s="63">
        <v>41</v>
      </c>
      <c r="B43" s="62">
        <v>2020</v>
      </c>
      <c r="C43" s="64">
        <v>16666</v>
      </c>
      <c r="D43" s="64" t="s">
        <v>1</v>
      </c>
      <c r="E43" s="65">
        <v>1.6400000000000001E-2</v>
      </c>
      <c r="F43" s="6">
        <v>1710</v>
      </c>
      <c r="G43" s="6" t="s">
        <v>1</v>
      </c>
      <c r="H43" s="6">
        <v>0.13100000000000001</v>
      </c>
      <c r="I43" s="15">
        <v>460</v>
      </c>
      <c r="J43" s="15" t="s">
        <v>1</v>
      </c>
      <c r="K43" s="15">
        <v>-1.7100000000000001E-2</v>
      </c>
      <c r="L43" s="16">
        <v>183</v>
      </c>
      <c r="M43" s="16" t="s">
        <v>1</v>
      </c>
      <c r="N43" s="16">
        <v>0</v>
      </c>
      <c r="O43" s="9">
        <v>95</v>
      </c>
      <c r="P43" s="9" t="s">
        <v>1</v>
      </c>
      <c r="Q43" s="9">
        <v>1.06E-2</v>
      </c>
    </row>
    <row r="44" spans="1:46" x14ac:dyDescent="0.25">
      <c r="A44" s="63">
        <v>42</v>
      </c>
      <c r="B44" s="62">
        <v>2021</v>
      </c>
      <c r="C44" s="64">
        <v>15590</v>
      </c>
      <c r="D44" s="64" t="s">
        <v>1</v>
      </c>
      <c r="E44" s="65">
        <v>-6.4600000000000005E-2</v>
      </c>
      <c r="F44" s="6">
        <v>1710</v>
      </c>
      <c r="G44" s="6" t="s">
        <v>1</v>
      </c>
      <c r="H44" s="6">
        <v>0</v>
      </c>
      <c r="I44" s="15">
        <v>488</v>
      </c>
      <c r="J44" s="15" t="s">
        <v>1</v>
      </c>
      <c r="K44" s="15">
        <v>6.0900000000000003E-2</v>
      </c>
      <c r="L44" s="16">
        <v>185</v>
      </c>
      <c r="M44" s="16" t="s">
        <v>1</v>
      </c>
      <c r="N44" s="16">
        <v>1.09E-2</v>
      </c>
      <c r="O44" s="9">
        <v>90</v>
      </c>
      <c r="P44" s="9" t="s">
        <v>1</v>
      </c>
      <c r="Q44" s="9">
        <v>-5.2600000000000001E-2</v>
      </c>
    </row>
    <row r="45" spans="1:46" s="100" customFormat="1" x14ac:dyDescent="0.25">
      <c r="A45" s="96" t="s">
        <v>41</v>
      </c>
      <c r="B45" s="97">
        <v>2022</v>
      </c>
      <c r="C45" s="96">
        <v>17203</v>
      </c>
      <c r="D45" s="97"/>
      <c r="E45" s="98"/>
      <c r="F45" s="96">
        <v>1800</v>
      </c>
      <c r="G45" s="96"/>
      <c r="H45" s="96"/>
      <c r="I45" s="99">
        <v>488</v>
      </c>
      <c r="J45" s="96"/>
      <c r="K45" s="96"/>
      <c r="L45" s="99">
        <v>190</v>
      </c>
      <c r="M45" s="96"/>
      <c r="N45" s="96"/>
      <c r="O45" s="96">
        <v>98</v>
      </c>
      <c r="P45" s="96"/>
      <c r="Q45" s="96"/>
    </row>
    <row r="46" spans="1:46" s="94" customFormat="1" x14ac:dyDescent="0.25">
      <c r="A46" s="92" t="s">
        <v>40</v>
      </c>
      <c r="B46" s="93">
        <v>2022</v>
      </c>
      <c r="C46" s="94">
        <v>15375.3</v>
      </c>
      <c r="D46" s="93"/>
      <c r="E46" s="95"/>
      <c r="F46" s="94">
        <v>1886.16</v>
      </c>
      <c r="G46" s="92"/>
      <c r="H46" s="92"/>
      <c r="I46" s="94">
        <v>430.78199999999998</v>
      </c>
      <c r="J46" s="92"/>
      <c r="K46" s="92"/>
      <c r="L46" s="94">
        <v>196.6944</v>
      </c>
      <c r="M46" s="92"/>
      <c r="N46" s="92"/>
      <c r="O46" s="94">
        <v>95.710999999999999</v>
      </c>
      <c r="P46" s="92"/>
      <c r="Q46" s="92"/>
    </row>
    <row r="47" spans="1:46" s="67" customFormat="1" x14ac:dyDescent="0.25">
      <c r="A47" s="66"/>
      <c r="B47" s="66" t="s">
        <v>39</v>
      </c>
      <c r="C47" s="66">
        <f>SUM(C3:C44)</f>
        <v>242126</v>
      </c>
      <c r="D47" s="66"/>
      <c r="E47" s="66"/>
      <c r="F47" s="66">
        <f>SUM(F3:F44)</f>
        <v>37910</v>
      </c>
      <c r="G47" s="66"/>
      <c r="H47" s="66"/>
      <c r="I47" s="66">
        <f>SUM(I3:I44)</f>
        <v>24757</v>
      </c>
      <c r="J47" s="66"/>
      <c r="K47" s="66"/>
      <c r="L47" s="66">
        <f>SUM(L3:L44)</f>
        <v>7036</v>
      </c>
      <c r="M47" s="66"/>
      <c r="N47" s="66"/>
      <c r="O47" s="66">
        <f>SUM(O3:O44)</f>
        <v>2869</v>
      </c>
      <c r="P47" s="66"/>
      <c r="Q47" s="66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</row>
    <row r="48" spans="1:46" x14ac:dyDescent="0.25">
      <c r="A48" s="63"/>
      <c r="B48" s="63"/>
      <c r="C48" s="5" t="s">
        <v>0</v>
      </c>
      <c r="D48" s="63"/>
      <c r="E48" s="63"/>
      <c r="F48" s="6" t="s">
        <v>3</v>
      </c>
      <c r="G48" s="63"/>
      <c r="H48" s="63"/>
      <c r="I48" s="15" t="s">
        <v>7</v>
      </c>
      <c r="J48" s="63"/>
      <c r="K48" s="63"/>
      <c r="L48" s="16" t="s">
        <v>8</v>
      </c>
      <c r="M48" s="63"/>
      <c r="N48" s="63"/>
      <c r="O48" s="9" t="s">
        <v>9</v>
      </c>
      <c r="P48" s="63"/>
      <c r="Q48" s="63"/>
    </row>
    <row r="49" spans="1:17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</row>
    <row r="69" spans="3:7" x14ac:dyDescent="0.25">
      <c r="C69" s="6">
        <v>1386</v>
      </c>
      <c r="D69" s="6">
        <v>1728</v>
      </c>
      <c r="E69" s="6">
        <v>1512</v>
      </c>
      <c r="F69" s="6">
        <v>1710</v>
      </c>
      <c r="G69" s="6">
        <v>1710</v>
      </c>
    </row>
    <row r="71" spans="3:7" x14ac:dyDescent="0.25">
      <c r="C71" s="15">
        <v>468</v>
      </c>
      <c r="D71" s="15">
        <v>478</v>
      </c>
      <c r="E71" s="15">
        <v>468</v>
      </c>
      <c r="F71" s="15">
        <v>460</v>
      </c>
      <c r="G71" s="15">
        <v>488</v>
      </c>
    </row>
    <row r="73" spans="3:7" x14ac:dyDescent="0.25">
      <c r="C73" s="16">
        <v>177</v>
      </c>
      <c r="D73" s="16">
        <v>176</v>
      </c>
      <c r="E73" s="16">
        <v>183</v>
      </c>
      <c r="F73" s="16">
        <v>183</v>
      </c>
      <c r="G73" s="16">
        <v>185</v>
      </c>
    </row>
    <row r="75" spans="3:7" x14ac:dyDescent="0.25">
      <c r="C75" s="9">
        <v>87</v>
      </c>
      <c r="D75" s="9">
        <v>93</v>
      </c>
      <c r="E75" s="9">
        <v>94</v>
      </c>
      <c r="F75" s="9">
        <v>95</v>
      </c>
      <c r="G75" s="9">
        <v>90</v>
      </c>
    </row>
    <row r="82" spans="1:42" x14ac:dyDescent="0.25">
      <c r="A82" s="64">
        <v>183</v>
      </c>
      <c r="B82" s="64">
        <v>216</v>
      </c>
      <c r="C82" s="64">
        <v>193</v>
      </c>
      <c r="D82" s="64">
        <v>199</v>
      </c>
      <c r="E82" s="64">
        <v>235</v>
      </c>
      <c r="F82" s="64">
        <v>375</v>
      </c>
      <c r="G82" s="64">
        <v>546</v>
      </c>
      <c r="H82" s="64">
        <v>710</v>
      </c>
      <c r="I82" s="64">
        <v>656</v>
      </c>
      <c r="J82" s="64">
        <v>554</v>
      </c>
      <c r="K82" s="64">
        <v>599</v>
      </c>
      <c r="L82" s="64">
        <v>520</v>
      </c>
      <c r="M82" s="64">
        <v>673</v>
      </c>
      <c r="N82" s="64">
        <v>1141</v>
      </c>
      <c r="O82" s="64">
        <v>1289</v>
      </c>
      <c r="P82" s="64">
        <v>1150</v>
      </c>
      <c r="Q82" s="64">
        <v>1203</v>
      </c>
      <c r="R82" s="64">
        <v>1383</v>
      </c>
      <c r="S82" s="64">
        <v>2050</v>
      </c>
      <c r="T82" s="64">
        <v>2480</v>
      </c>
      <c r="U82" s="64">
        <v>3240</v>
      </c>
      <c r="V82" s="64">
        <v>3575</v>
      </c>
      <c r="W82" s="64">
        <v>4730</v>
      </c>
      <c r="X82" s="64">
        <v>4535</v>
      </c>
      <c r="Y82" s="64">
        <v>5421</v>
      </c>
      <c r="Z82" s="64">
        <v>6149</v>
      </c>
      <c r="AA82" s="64">
        <v>6410</v>
      </c>
      <c r="AB82" s="64">
        <v>7045</v>
      </c>
      <c r="AC82" s="64">
        <v>7365</v>
      </c>
      <c r="AD82" s="64">
        <v>8781</v>
      </c>
      <c r="AE82" s="64">
        <v>9856</v>
      </c>
      <c r="AF82" s="64">
        <v>10931</v>
      </c>
      <c r="AG82" s="64">
        <v>11648</v>
      </c>
      <c r="AH82" s="64">
        <v>12347</v>
      </c>
      <c r="AI82" s="64">
        <v>13350</v>
      </c>
      <c r="AJ82" s="64">
        <v>14605</v>
      </c>
      <c r="AK82" s="64">
        <v>15770</v>
      </c>
      <c r="AL82" s="64">
        <v>16128</v>
      </c>
      <c r="AM82" s="64">
        <v>15232</v>
      </c>
      <c r="AN82" s="64">
        <v>16397</v>
      </c>
      <c r="AO82" s="64">
        <v>16666</v>
      </c>
      <c r="AP82" s="64">
        <v>15590</v>
      </c>
    </row>
    <row r="84" spans="1:42" x14ac:dyDescent="0.25">
      <c r="A84" s="6">
        <v>69</v>
      </c>
      <c r="B84" s="6">
        <v>73</v>
      </c>
      <c r="C84" s="6">
        <v>76</v>
      </c>
      <c r="D84" s="6">
        <v>95</v>
      </c>
      <c r="E84" s="6">
        <v>149</v>
      </c>
      <c r="F84" s="6">
        <v>160</v>
      </c>
      <c r="G84" s="6">
        <v>142</v>
      </c>
      <c r="H84" s="6">
        <v>132</v>
      </c>
      <c r="I84" s="6">
        <v>247</v>
      </c>
      <c r="J84" s="6">
        <v>290</v>
      </c>
      <c r="K84" s="6">
        <v>425</v>
      </c>
      <c r="L84" s="6">
        <v>400</v>
      </c>
      <c r="M84" s="6">
        <v>500</v>
      </c>
      <c r="N84" s="6">
        <v>650</v>
      </c>
      <c r="O84" s="6">
        <v>495</v>
      </c>
      <c r="P84" s="6">
        <v>712</v>
      </c>
      <c r="Q84" s="6">
        <v>657</v>
      </c>
      <c r="R84" s="6">
        <v>859</v>
      </c>
      <c r="S84" s="6">
        <v>972</v>
      </c>
      <c r="T84" s="6">
        <v>792</v>
      </c>
      <c r="U84" s="6">
        <v>810</v>
      </c>
      <c r="V84" s="6">
        <v>792</v>
      </c>
      <c r="W84" s="6">
        <v>612</v>
      </c>
      <c r="X84" s="6">
        <v>1008</v>
      </c>
      <c r="Y84" s="6">
        <v>900</v>
      </c>
      <c r="Z84" s="6">
        <v>1278</v>
      </c>
      <c r="AA84" s="6">
        <v>1170</v>
      </c>
      <c r="AB84" s="6">
        <v>1494</v>
      </c>
      <c r="AC84" s="6">
        <v>1458</v>
      </c>
      <c r="AD84" s="6">
        <v>1404</v>
      </c>
      <c r="AE84" s="6">
        <v>1683</v>
      </c>
      <c r="AF84" s="6">
        <v>1854</v>
      </c>
      <c r="AG84" s="6">
        <v>1944</v>
      </c>
      <c r="AH84" s="6">
        <v>1566</v>
      </c>
      <c r="AI84" s="6">
        <v>1386</v>
      </c>
      <c r="AJ84" s="6">
        <v>990</v>
      </c>
      <c r="AK84" s="6">
        <v>1620</v>
      </c>
      <c r="AL84" s="6">
        <v>1386</v>
      </c>
      <c r="AM84" s="6">
        <v>1728</v>
      </c>
      <c r="AN84" s="6">
        <v>1512</v>
      </c>
      <c r="AO84" s="6">
        <v>1710</v>
      </c>
      <c r="AP84" s="6">
        <v>1710</v>
      </c>
    </row>
    <row r="86" spans="1:42" x14ac:dyDescent="0.25">
      <c r="A86" s="15">
        <v>626</v>
      </c>
      <c r="B86" s="15">
        <v>633</v>
      </c>
      <c r="C86" s="15">
        <v>681</v>
      </c>
      <c r="D86" s="15">
        <v>701</v>
      </c>
      <c r="E86" s="15">
        <v>689</v>
      </c>
      <c r="F86" s="15">
        <v>710</v>
      </c>
      <c r="G86" s="15">
        <v>709</v>
      </c>
      <c r="H86" s="15">
        <v>698</v>
      </c>
      <c r="I86" s="15">
        <v>642</v>
      </c>
      <c r="J86" s="15">
        <v>679</v>
      </c>
      <c r="K86" s="15">
        <v>619</v>
      </c>
      <c r="L86" s="15">
        <v>662</v>
      </c>
      <c r="M86" s="15">
        <v>689</v>
      </c>
      <c r="N86" s="15">
        <v>664</v>
      </c>
      <c r="O86" s="15">
        <v>670</v>
      </c>
      <c r="P86" s="15">
        <v>666</v>
      </c>
      <c r="Q86" s="15">
        <v>690</v>
      </c>
      <c r="R86" s="15">
        <v>670</v>
      </c>
      <c r="S86" s="15">
        <v>667</v>
      </c>
      <c r="T86" s="15">
        <v>680</v>
      </c>
      <c r="U86" s="15">
        <v>687</v>
      </c>
      <c r="V86" s="15">
        <v>707</v>
      </c>
      <c r="W86" s="15">
        <v>765</v>
      </c>
      <c r="X86" s="15">
        <v>645</v>
      </c>
      <c r="Y86" s="15">
        <v>579</v>
      </c>
      <c r="Z86" s="15">
        <v>579</v>
      </c>
      <c r="AA86" s="15">
        <v>576</v>
      </c>
      <c r="AB86" s="15">
        <v>563</v>
      </c>
      <c r="AC86" s="15">
        <v>479</v>
      </c>
      <c r="AD86" s="15">
        <v>480</v>
      </c>
      <c r="AE86" s="15">
        <v>417</v>
      </c>
      <c r="AF86" s="15">
        <v>380</v>
      </c>
      <c r="AG86" s="15">
        <v>379</v>
      </c>
      <c r="AH86" s="15">
        <v>389</v>
      </c>
      <c r="AI86" s="15">
        <v>414</v>
      </c>
      <c r="AJ86" s="15">
        <v>445</v>
      </c>
      <c r="AK86" s="15">
        <v>466</v>
      </c>
      <c r="AL86" s="15">
        <v>468</v>
      </c>
      <c r="AM86" s="15">
        <v>478</v>
      </c>
      <c r="AN86" s="15">
        <v>468</v>
      </c>
      <c r="AO86" s="15">
        <v>460</v>
      </c>
      <c r="AP86" s="15">
        <v>488</v>
      </c>
    </row>
    <row r="88" spans="1:42" x14ac:dyDescent="0.25">
      <c r="A88" s="16">
        <v>66</v>
      </c>
      <c r="B88" s="16">
        <v>74</v>
      </c>
      <c r="C88" s="16">
        <v>96</v>
      </c>
      <c r="D88" s="16">
        <v>98</v>
      </c>
      <c r="E88" s="16">
        <v>127</v>
      </c>
      <c r="F88" s="16">
        <v>146</v>
      </c>
      <c r="G88" s="16">
        <v>152</v>
      </c>
      <c r="H88" s="16">
        <v>157</v>
      </c>
      <c r="I88" s="16">
        <v>160</v>
      </c>
      <c r="J88" s="16">
        <v>140</v>
      </c>
      <c r="K88" s="16">
        <v>137</v>
      </c>
      <c r="L88" s="16">
        <v>200</v>
      </c>
      <c r="M88" s="16">
        <v>159</v>
      </c>
      <c r="N88" s="16">
        <v>170</v>
      </c>
      <c r="O88" s="16">
        <v>204</v>
      </c>
      <c r="P88" s="16">
        <v>211</v>
      </c>
      <c r="Q88" s="16">
        <v>245</v>
      </c>
      <c r="R88" s="16">
        <v>204</v>
      </c>
      <c r="S88" s="16">
        <v>204</v>
      </c>
      <c r="T88" s="16">
        <v>222</v>
      </c>
      <c r="U88" s="16">
        <v>194</v>
      </c>
      <c r="V88" s="16">
        <v>203</v>
      </c>
      <c r="W88" s="16">
        <v>215</v>
      </c>
      <c r="X88" s="16">
        <v>193</v>
      </c>
      <c r="Y88" s="16">
        <v>173</v>
      </c>
      <c r="Z88" s="16">
        <v>161</v>
      </c>
      <c r="AA88" s="16">
        <v>171</v>
      </c>
      <c r="AB88" s="16">
        <v>168</v>
      </c>
      <c r="AC88" s="16">
        <v>163</v>
      </c>
      <c r="AD88" s="16">
        <v>162</v>
      </c>
      <c r="AE88" s="16">
        <v>165</v>
      </c>
      <c r="AF88" s="16">
        <v>146</v>
      </c>
      <c r="AG88" s="16">
        <v>144</v>
      </c>
      <c r="AH88" s="16">
        <v>160</v>
      </c>
      <c r="AI88" s="16">
        <v>182</v>
      </c>
      <c r="AJ88" s="16">
        <v>185</v>
      </c>
      <c r="AK88" s="16">
        <v>175</v>
      </c>
      <c r="AL88" s="16">
        <v>177</v>
      </c>
      <c r="AM88" s="16">
        <v>176</v>
      </c>
      <c r="AN88" s="16">
        <v>183</v>
      </c>
      <c r="AO88" s="16">
        <v>183</v>
      </c>
      <c r="AP88" s="16">
        <v>185</v>
      </c>
    </row>
    <row r="90" spans="1:42" x14ac:dyDescent="0.25">
      <c r="A90" s="9">
        <v>25</v>
      </c>
      <c r="B90" s="9">
        <v>29</v>
      </c>
      <c r="C90" s="9">
        <v>29</v>
      </c>
      <c r="D90" s="9">
        <v>19</v>
      </c>
      <c r="E90" s="9">
        <v>24</v>
      </c>
      <c r="F90" s="9">
        <v>35</v>
      </c>
      <c r="G90" s="9">
        <v>39</v>
      </c>
      <c r="H90" s="9">
        <v>53</v>
      </c>
      <c r="I90" s="9">
        <v>50</v>
      </c>
      <c r="J90" s="9">
        <v>65</v>
      </c>
      <c r="K90" s="9">
        <v>78</v>
      </c>
      <c r="L90" s="9">
        <v>78</v>
      </c>
      <c r="M90" s="9">
        <v>77</v>
      </c>
      <c r="N90" s="9">
        <v>67</v>
      </c>
      <c r="O90" s="9">
        <v>92</v>
      </c>
      <c r="P90" s="9">
        <v>97</v>
      </c>
      <c r="Q90" s="9">
        <v>109</v>
      </c>
      <c r="R90" s="9">
        <v>63</v>
      </c>
      <c r="S90" s="9">
        <v>60</v>
      </c>
      <c r="T90" s="9">
        <v>54</v>
      </c>
      <c r="U90" s="9">
        <v>77</v>
      </c>
      <c r="V90" s="9">
        <v>91</v>
      </c>
      <c r="W90" s="9">
        <v>71</v>
      </c>
      <c r="X90" s="9">
        <v>71</v>
      </c>
      <c r="Y90" s="9">
        <v>71</v>
      </c>
      <c r="Z90" s="9">
        <v>72</v>
      </c>
      <c r="AA90" s="9">
        <v>66</v>
      </c>
      <c r="AB90" s="9">
        <v>58</v>
      </c>
      <c r="AC90" s="9">
        <v>65</v>
      </c>
      <c r="AD90" s="9">
        <v>68</v>
      </c>
      <c r="AE90" s="9">
        <v>72</v>
      </c>
      <c r="AF90" s="9">
        <v>71</v>
      </c>
      <c r="AG90" s="9">
        <v>70</v>
      </c>
      <c r="AH90" s="9">
        <v>66</v>
      </c>
      <c r="AI90" s="9">
        <v>77</v>
      </c>
      <c r="AJ90" s="9">
        <v>105</v>
      </c>
      <c r="AK90" s="9">
        <v>96</v>
      </c>
      <c r="AL90" s="9">
        <v>87</v>
      </c>
      <c r="AM90" s="9">
        <v>93</v>
      </c>
      <c r="AN90" s="9">
        <v>94</v>
      </c>
      <c r="AO90" s="9">
        <v>95</v>
      </c>
      <c r="AP90" s="9">
        <v>90</v>
      </c>
    </row>
  </sheetData>
  <mergeCells count="7">
    <mergeCell ref="O1:Q1"/>
    <mergeCell ref="B1:B2"/>
    <mergeCell ref="A1:A2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Sakshi Mhatre</cp:lastModifiedBy>
  <dcterms:created xsi:type="dcterms:W3CDTF">2022-12-25T19:22:28Z</dcterms:created>
  <dcterms:modified xsi:type="dcterms:W3CDTF">2026-01-01T09:06:55Z</dcterms:modified>
</cp:coreProperties>
</file>